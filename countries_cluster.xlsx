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datafrank\Countries\"/>
    </mc:Choice>
  </mc:AlternateContent>
  <xr:revisionPtr revIDLastSave="0" documentId="13_ncr:1_{B7A87C03-1594-424A-9371-CE5005F3D367}" xr6:coauthVersionLast="47" xr6:coauthVersionMax="47" xr10:uidLastSave="{00000000-0000-0000-0000-000000000000}"/>
  <bookViews>
    <workbookView xWindow="-120" yWindow="-16320" windowWidth="29040" windowHeight="15720" xr2:uid="{851CF01A-A4AE-42A4-8BCA-947359BBA5CF}"/>
  </bookViews>
  <sheets>
    <sheet name="country_clusters" sheetId="3" r:id="rId1"/>
    <sheet name="Sheet1" sheetId="1" r:id="rId2"/>
  </sheets>
  <definedNames>
    <definedName name="ExternalData_1" localSheetId="0" hidden="1">country_clusters!$A:$AC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CF365-9C3A-404F-BDF3-0D872EA5A19B}" keepAlive="1" name="Query - country_clusters" description="Connection to the 'country_clusters' query in the workbook." type="5" refreshedVersion="0" background="1">
    <dbPr connection="Provider=Microsoft.Mashup.OleDb.1;Data Source=$Workbook$;Location=country_clusters;Extended Properties=&quot;&quot;" command="SELECT * FROM [country_clusters]"/>
  </connection>
  <connection id="2" xr16:uid="{28A0EA5F-835C-4043-AB2E-47A8CB2E273F}" keepAlive="1" name="Query - country_clusters (2)" description="Connection to the 'country_clusters (2)' query in the workbook." type="5" refreshedVersion="8" background="1" saveData="1">
    <dbPr connection="Provider=Microsoft.Mashup.OleDb.1;Data Source=$Workbook$;Location=&quot;country_clusters (2)&quot;;Extended Properties=&quot;&quot;" command="SELECT * FROM [country_clusters (2)]"/>
  </connection>
</connections>
</file>

<file path=xl/sharedStrings.xml><?xml version="1.0" encoding="utf-8"?>
<sst xmlns="http://schemas.openxmlformats.org/spreadsheetml/2006/main" count="3295" uniqueCount="487">
  <si>
    <t>Country</t>
  </si>
  <si>
    <t>Capital</t>
  </si>
  <si>
    <t>Constitutional_Form</t>
  </si>
  <si>
    <t>Religion</t>
  </si>
  <si>
    <t>Democracy_Score</t>
  </si>
  <si>
    <t>Democracy_Classification</t>
  </si>
  <si>
    <t>Development_Status</t>
  </si>
  <si>
    <t>Latitude</t>
  </si>
  <si>
    <t>Longitude</t>
  </si>
  <si>
    <t>Area</t>
  </si>
  <si>
    <t>Population</t>
  </si>
  <si>
    <t>GDP</t>
  </si>
  <si>
    <t>%Agriculture</t>
  </si>
  <si>
    <t>GDP_CAPITA</t>
  </si>
  <si>
    <t>Life_exp</t>
  </si>
  <si>
    <t>lat_pos</t>
  </si>
  <si>
    <t>lon_pos</t>
  </si>
  <si>
    <t>Equatorial</t>
  </si>
  <si>
    <t>Agriculture_Flag</t>
  </si>
  <si>
    <t>Continent</t>
  </si>
  <si>
    <t>Population_Density</t>
  </si>
  <si>
    <t>Region</t>
  </si>
  <si>
    <t>Landlocked</t>
  </si>
  <si>
    <t>GDP_per_Area</t>
  </si>
  <si>
    <t>Income_Level</t>
  </si>
  <si>
    <t>Life_Exp_Category</t>
  </si>
  <si>
    <t>Cluster</t>
  </si>
  <si>
    <t>Afghanistan</t>
  </si>
  <si>
    <t>Kabul</t>
  </si>
  <si>
    <t>Islamic Republic (Provisional)</t>
  </si>
  <si>
    <t>Islam</t>
  </si>
  <si>
    <t>Authoritarian</t>
  </si>
  <si>
    <t>Developing</t>
  </si>
  <si>
    <t>East</t>
  </si>
  <si>
    <t>North</t>
  </si>
  <si>
    <t>No</t>
  </si>
  <si>
    <t>Yes</t>
  </si>
  <si>
    <t>Asia</t>
  </si>
  <si>
    <t>South Asia</t>
  </si>
  <si>
    <t>Low</t>
  </si>
  <si>
    <t>Albania</t>
  </si>
  <si>
    <t>Tirana</t>
  </si>
  <si>
    <t>Parliamentary Republic</t>
  </si>
  <si>
    <t>Flawed Democracy</t>
  </si>
  <si>
    <t>Europe</t>
  </si>
  <si>
    <t>Central Europe</t>
  </si>
  <si>
    <t>Upper-Middle</t>
  </si>
  <si>
    <t>High</t>
  </si>
  <si>
    <t>Algeria</t>
  </si>
  <si>
    <t>Algiers</t>
  </si>
  <si>
    <t>Presidential Republic</t>
  </si>
  <si>
    <t>Africa</t>
  </si>
  <si>
    <t>North Africa</t>
  </si>
  <si>
    <t>Lower-Middle</t>
  </si>
  <si>
    <t>Andorra</t>
  </si>
  <si>
    <t>Andorra la Vella</t>
  </si>
  <si>
    <t>Parliamentary Co-Principality</t>
  </si>
  <si>
    <t>Christianity</t>
  </si>
  <si>
    <t>Full Democracy</t>
  </si>
  <si>
    <t>Developed</t>
  </si>
  <si>
    <t>Western Europe</t>
  </si>
  <si>
    <t>Angola</t>
  </si>
  <si>
    <t>Luanda</t>
  </si>
  <si>
    <t>Hybrid Regime</t>
  </si>
  <si>
    <t>South</t>
  </si>
  <si>
    <t>East Africa</t>
  </si>
  <si>
    <t>Antigua and Barbuda</t>
  </si>
  <si>
    <t>St. John's, Antigua and Barbuda</t>
  </si>
  <si>
    <t>Constitutional Monarchy</t>
  </si>
  <si>
    <t>West</t>
  </si>
  <si>
    <t>North America</t>
  </si>
  <si>
    <t>Central America/Caribbean</t>
  </si>
  <si>
    <t>Argentina</t>
  </si>
  <si>
    <t>Buenos Aires</t>
  </si>
  <si>
    <t>Federal Presidential Republic</t>
  </si>
  <si>
    <t>South America</t>
  </si>
  <si>
    <t>Southern South America</t>
  </si>
  <si>
    <t>Armenia</t>
  </si>
  <si>
    <t>Yerevan</t>
  </si>
  <si>
    <t>Western Asia/Middle East</t>
  </si>
  <si>
    <t>Medium</t>
  </si>
  <si>
    <t>Australia</t>
  </si>
  <si>
    <t>Canberra</t>
  </si>
  <si>
    <t>Federal Constitutional Monarchy</t>
  </si>
  <si>
    <t>Oceania</t>
  </si>
  <si>
    <t>Australia/New Zealand</t>
  </si>
  <si>
    <t>Austria</t>
  </si>
  <si>
    <t>Vienna</t>
  </si>
  <si>
    <t>Federal Parliamentary Republic</t>
  </si>
  <si>
    <t>Azerbaijan</t>
  </si>
  <si>
    <t>Baku</t>
  </si>
  <si>
    <t>The Bahamas</t>
  </si>
  <si>
    <t>Nassau, The Bahamas</t>
  </si>
  <si>
    <t>Bahrain</t>
  </si>
  <si>
    <t>Manama</t>
  </si>
  <si>
    <t>Bangladesh</t>
  </si>
  <si>
    <t>Dhaka</t>
  </si>
  <si>
    <t>Barbados</t>
  </si>
  <si>
    <t>Bridgetown</t>
  </si>
  <si>
    <t>Belarus</t>
  </si>
  <si>
    <t>Minsk</t>
  </si>
  <si>
    <t>Eastern Europe</t>
  </si>
  <si>
    <t>Belgium</t>
  </si>
  <si>
    <t>City of Brussels</t>
  </si>
  <si>
    <t>Belize</t>
  </si>
  <si>
    <t>Belmopan</t>
  </si>
  <si>
    <t>Benin</t>
  </si>
  <si>
    <t>Porto-Novo</t>
  </si>
  <si>
    <t>Bhutan</t>
  </si>
  <si>
    <t>Thimphu</t>
  </si>
  <si>
    <t>Buddhism</t>
  </si>
  <si>
    <t>Bolivia</t>
  </si>
  <si>
    <t>Sucre</t>
  </si>
  <si>
    <t>Central South America</t>
  </si>
  <si>
    <t>Bosnia and Herzegovina</t>
  </si>
  <si>
    <t>Sarajevo</t>
  </si>
  <si>
    <t>Botswana</t>
  </si>
  <si>
    <t>Gaborone</t>
  </si>
  <si>
    <t>Southern Africa</t>
  </si>
  <si>
    <t>Brazil</t>
  </si>
  <si>
    <t>Brasília</t>
  </si>
  <si>
    <t>Brunei</t>
  </si>
  <si>
    <t>Bandar Seri Begawan</t>
  </si>
  <si>
    <t>Absolute Monarchy</t>
  </si>
  <si>
    <t>Southeast Asia</t>
  </si>
  <si>
    <t>Bulgaria</t>
  </si>
  <si>
    <t>Sofia</t>
  </si>
  <si>
    <t>Burkina Faso</t>
  </si>
  <si>
    <t>Ouagadougou</t>
  </si>
  <si>
    <t>Provisional Government</t>
  </si>
  <si>
    <t>West Africa</t>
  </si>
  <si>
    <t>Burundi</t>
  </si>
  <si>
    <t>Gitega</t>
  </si>
  <si>
    <t>Cape Verde</t>
  </si>
  <si>
    <t>Praia</t>
  </si>
  <si>
    <t>Semi-Presidential Republic</t>
  </si>
  <si>
    <t>Cambodia</t>
  </si>
  <si>
    <t>Phnom Penh</t>
  </si>
  <si>
    <t>Cameroon</t>
  </si>
  <si>
    <t>Yaoundé</t>
  </si>
  <si>
    <t>Canada</t>
  </si>
  <si>
    <t>Ottawa</t>
  </si>
  <si>
    <t>Central African Republic</t>
  </si>
  <si>
    <t>Bangui</t>
  </si>
  <si>
    <t>Chad</t>
  </si>
  <si>
    <t>N'Djamena</t>
  </si>
  <si>
    <t>Chile</t>
  </si>
  <si>
    <t>Santiago</t>
  </si>
  <si>
    <t>China</t>
  </si>
  <si>
    <t>Beijing</t>
  </si>
  <si>
    <t>One-Party Socialist Republic</t>
  </si>
  <si>
    <t>Unaffiliated</t>
  </si>
  <si>
    <t>East Asia</t>
  </si>
  <si>
    <t>Colombia</t>
  </si>
  <si>
    <t>Bogotá</t>
  </si>
  <si>
    <t>Northern South America</t>
  </si>
  <si>
    <t>Comoros</t>
  </si>
  <si>
    <t>Moroni, Comoros</t>
  </si>
  <si>
    <t>Congo (Democratic Republic)</t>
  </si>
  <si>
    <t>Kinshasa</t>
  </si>
  <si>
    <t>Republic of the Congo</t>
  </si>
  <si>
    <t>Brazzaville</t>
  </si>
  <si>
    <t>Costa Rica</t>
  </si>
  <si>
    <t>San José, Costa Rica</t>
  </si>
  <si>
    <t>Ivory Coast</t>
  </si>
  <si>
    <t>Yamoussoukro</t>
  </si>
  <si>
    <t>Croatia</t>
  </si>
  <si>
    <t>Zagreb</t>
  </si>
  <si>
    <t>Cuba</t>
  </si>
  <si>
    <t>Havana</t>
  </si>
  <si>
    <t>Cyprus</t>
  </si>
  <si>
    <t>Nicosia</t>
  </si>
  <si>
    <t>Czech Republic</t>
  </si>
  <si>
    <t>Prague</t>
  </si>
  <si>
    <t>Denmark</t>
  </si>
  <si>
    <t>Copenhagen</t>
  </si>
  <si>
    <t>Djibouti</t>
  </si>
  <si>
    <t>Djibouti City</t>
  </si>
  <si>
    <t>Dominica</t>
  </si>
  <si>
    <t>Roseau</t>
  </si>
  <si>
    <t>Dominican Republic</t>
  </si>
  <si>
    <t>Santo Domingo</t>
  </si>
  <si>
    <t>Ecuador</t>
  </si>
  <si>
    <t>Quito</t>
  </si>
  <si>
    <t>Egypt</t>
  </si>
  <si>
    <t>Cairo</t>
  </si>
  <si>
    <t>El Salvador</t>
  </si>
  <si>
    <t>San Salvador</t>
  </si>
  <si>
    <t>Equatorial Guinea</t>
  </si>
  <si>
    <t>Ciudad de la Paz</t>
  </si>
  <si>
    <t>Eritrea</t>
  </si>
  <si>
    <t>Asmara</t>
  </si>
  <si>
    <t>One-Party Presidential Republic</t>
  </si>
  <si>
    <t>Estonia</t>
  </si>
  <si>
    <t>Tallinn</t>
  </si>
  <si>
    <t>Northern Europe</t>
  </si>
  <si>
    <t>Eswatini</t>
  </si>
  <si>
    <t>Lobamba</t>
  </si>
  <si>
    <t>Ethiopia</t>
  </si>
  <si>
    <t>Addis Ababa</t>
  </si>
  <si>
    <t>Fiji</t>
  </si>
  <si>
    <t>Suva</t>
  </si>
  <si>
    <t>Pacific Islands</t>
  </si>
  <si>
    <t>Finland</t>
  </si>
  <si>
    <t>Helsinki</t>
  </si>
  <si>
    <t>France</t>
  </si>
  <si>
    <t>Paris</t>
  </si>
  <si>
    <t>Gabon</t>
  </si>
  <si>
    <t>Libreville</t>
  </si>
  <si>
    <t>The Gambia</t>
  </si>
  <si>
    <t>Banjul</t>
  </si>
  <si>
    <t>Georgia</t>
  </si>
  <si>
    <t>Tbilisi</t>
  </si>
  <si>
    <t>Germany</t>
  </si>
  <si>
    <t>Berlin</t>
  </si>
  <si>
    <t>Ghana</t>
  </si>
  <si>
    <t>Accra</t>
  </si>
  <si>
    <t>Greece</t>
  </si>
  <si>
    <t>Athens</t>
  </si>
  <si>
    <t>Southern Europe</t>
  </si>
  <si>
    <t>Grenada</t>
  </si>
  <si>
    <t>St. George's, Grenada</t>
  </si>
  <si>
    <t>Guatemala</t>
  </si>
  <si>
    <t>Guatemala City</t>
  </si>
  <si>
    <t>Guinea</t>
  </si>
  <si>
    <t>Conakry</t>
  </si>
  <si>
    <t>Guinea-Bissau</t>
  </si>
  <si>
    <t>Bissau</t>
  </si>
  <si>
    <t>Guyana</t>
  </si>
  <si>
    <t>Georgetown, Guyana</t>
  </si>
  <si>
    <t>Haiti</t>
  </si>
  <si>
    <t>Port-au-Prince</t>
  </si>
  <si>
    <t>Honduras</t>
  </si>
  <si>
    <t>Tegucigalpa</t>
  </si>
  <si>
    <t>Hungary</t>
  </si>
  <si>
    <t>Budapest</t>
  </si>
  <si>
    <t>Iceland</t>
  </si>
  <si>
    <t>Reykjavík</t>
  </si>
  <si>
    <t>India</t>
  </si>
  <si>
    <t>New Delhi</t>
  </si>
  <si>
    <t>Hinduism</t>
  </si>
  <si>
    <t>Indonesia</t>
  </si>
  <si>
    <t>Jakarta</t>
  </si>
  <si>
    <t>Iran</t>
  </si>
  <si>
    <t>Tehran</t>
  </si>
  <si>
    <t>Islamic Republic</t>
  </si>
  <si>
    <t>Iraq</t>
  </si>
  <si>
    <t>Baghdad</t>
  </si>
  <si>
    <t>Republic of Ireland</t>
  </si>
  <si>
    <t>Dublin</t>
  </si>
  <si>
    <t>Israel</t>
  </si>
  <si>
    <t>Jerusalem</t>
  </si>
  <si>
    <t>Judaism</t>
  </si>
  <si>
    <t>Italy</t>
  </si>
  <si>
    <t>Rome</t>
  </si>
  <si>
    <t>Jamaica</t>
  </si>
  <si>
    <t>Kingston, Jamaica</t>
  </si>
  <si>
    <t>Japan</t>
  </si>
  <si>
    <t>Tokyo</t>
  </si>
  <si>
    <t>Shinto/Buddhism</t>
  </si>
  <si>
    <t>Jordan</t>
  </si>
  <si>
    <t>Amman</t>
  </si>
  <si>
    <t>Kazakhstan</t>
  </si>
  <si>
    <t>Astana</t>
  </si>
  <si>
    <t>Central Asia</t>
  </si>
  <si>
    <t>Kenya</t>
  </si>
  <si>
    <t>Nairobi</t>
  </si>
  <si>
    <t>Kiribati</t>
  </si>
  <si>
    <t>South Tarawa</t>
  </si>
  <si>
    <t>Kuwait</t>
  </si>
  <si>
    <t>Kuwait City</t>
  </si>
  <si>
    <t>Kyrgyzstan</t>
  </si>
  <si>
    <t>Bishkek</t>
  </si>
  <si>
    <t>Laos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</si>
  <si>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</si>
  <si>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</si>
  <si>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</si>
  <si>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</si>
  <si>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</si>
  <si>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</si>
  <si>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</si>
  <si>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</si>
  <si>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</si>
  <si>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Libya</t>
  </si>
  <si>
    <t>Tripoli, Libya</t>
  </si>
  <si>
    <t>Liechtenstein</t>
  </si>
  <si>
    <t>Vaduz</t>
  </si>
  <si>
    <t>Lithuania</t>
  </si>
  <si>
    <t>Vilnius</t>
  </si>
  <si>
    <t>Luxembourg</t>
  </si>
  <si>
    <t>Luxembourg City</t>
  </si>
  <si>
    <t>Madagascar</t>
  </si>
  <si>
    <t>Antananarivo</t>
  </si>
  <si>
    <t>Malawi</t>
  </si>
  <si>
    <t>Lilongwe</t>
  </si>
  <si>
    <t>Malaysia</t>
  </si>
  <si>
    <t>Kuala Lumpur</t>
  </si>
  <si>
    <t>Mali</t>
  </si>
  <si>
    <t>Bamako</t>
  </si>
  <si>
    <t>Malta</t>
  </si>
  <si>
    <t>Valletta</t>
  </si>
  <si>
    <t>Marshall Islands</t>
  </si>
  <si>
    <t>Majuro</t>
  </si>
  <si>
    <t>Mauritania</t>
  </si>
  <si>
    <t>Nouakchott</t>
  </si>
  <si>
    <t>Mauritius</t>
  </si>
  <si>
    <t>Port Louis</t>
  </si>
  <si>
    <t>Mexico</t>
  </si>
  <si>
    <t>Mexico City</t>
  </si>
  <si>
    <t>Federated States of Micronesia</t>
  </si>
  <si>
    <t>Palikir</t>
  </si>
  <si>
    <t>Federal Republic</t>
  </si>
  <si>
    <t>Moldova</t>
  </si>
  <si>
    <t>Chi?in?u</t>
  </si>
  <si>
    <t>Monaco</t>
  </si>
  <si>
    <t>Monaco City</t>
  </si>
  <si>
    <t>Mongolia</t>
  </si>
  <si>
    <t>Ulaanbaatar</t>
  </si>
  <si>
    <t>Montenegro</t>
  </si>
  <si>
    <t>Podgorica</t>
  </si>
  <si>
    <t>Morocco</t>
  </si>
  <si>
    <t>Rabat</t>
  </si>
  <si>
    <t>Mozambique</t>
  </si>
  <si>
    <t>Maputo</t>
  </si>
  <si>
    <t>Myanmar</t>
  </si>
  <si>
    <t>Naypyidaw</t>
  </si>
  <si>
    <t>Namibia</t>
  </si>
  <si>
    <t>Windhoek</t>
  </si>
  <si>
    <t>Nauru</t>
  </si>
  <si>
    <t>Yaren District</t>
  </si>
  <si>
    <t>Nepal</t>
  </si>
  <si>
    <t>Kathmandu</t>
  </si>
  <si>
    <t>Netherlands</t>
  </si>
  <si>
    <t>Amsterdam</t>
  </si>
  <si>
    <t>New Zealand</t>
  </si>
  <si>
    <t>Wellington</t>
  </si>
  <si>
    <t>Nicaragua</t>
  </si>
  <si>
    <t>Managua</t>
  </si>
  <si>
    <t>Niger</t>
  </si>
  <si>
    <t>Niamey</t>
  </si>
  <si>
    <t>Nigeria</t>
  </si>
  <si>
    <t>Abuja</t>
  </si>
  <si>
    <t>North Korea</t>
  </si>
  <si>
    <t>Pyongyang</t>
  </si>
  <si>
    <t>One-Party Republic</t>
  </si>
  <si>
    <t>North Macedonia</t>
  </si>
  <si>
    <t>Skopje</t>
  </si>
  <si>
    <t>Norway</t>
  </si>
  <si>
    <t>Oslo</t>
  </si>
  <si>
    <t>Oman</t>
  </si>
  <si>
    <t>Muscat</t>
  </si>
  <si>
    <t>Pakistan</t>
  </si>
  <si>
    <t>Islamabad</t>
  </si>
  <si>
    <t>Palau</t>
  </si>
  <si>
    <t>Ngerulmud</t>
  </si>
  <si>
    <t>Palestinian Authority</t>
  </si>
  <si>
    <t>Ramallah</t>
  </si>
  <si>
    <t>Panama</t>
  </si>
  <si>
    <t>Panama City</t>
  </si>
  <si>
    <t>Papua New Guinea</t>
  </si>
  <si>
    <t>Port Moresby</t>
  </si>
  <si>
    <t>Paraguay</t>
  </si>
  <si>
    <t>Asunción</t>
  </si>
  <si>
    <t>Peru</t>
  </si>
  <si>
    <t>Lima</t>
  </si>
  <si>
    <t>Philippines</t>
  </si>
  <si>
    <t>Manila</t>
  </si>
  <si>
    <t>Poland</t>
  </si>
  <si>
    <t>Warsaw</t>
  </si>
  <si>
    <t>Portugal</t>
  </si>
  <si>
    <t>Lisbon</t>
  </si>
  <si>
    <t>Qatar</t>
  </si>
  <si>
    <t>Doha</t>
  </si>
  <si>
    <t>Romania</t>
  </si>
  <si>
    <t>Bucharest</t>
  </si>
  <si>
    <t>Russia</t>
  </si>
  <si>
    <t>Moscow</t>
  </si>
  <si>
    <t>Federal Semi-Presidential Republic</t>
  </si>
  <si>
    <t>Rwanda</t>
  </si>
  <si>
    <t>Kigali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</si>
  <si>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</si>
  <si>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</si>
  <si>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</si>
  <si>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</si>
  <si>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</si>
  <si>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</si>
  <si>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</si>
  <si>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Apia</t>
  </si>
  <si>
    <t>San Marino</t>
  </si>
  <si>
    <t>City of San Marino</t>
  </si>
  <si>
    <t>São Tomé and Príncipe</t>
  </si>
  <si>
    <t>São Tomé</t>
  </si>
  <si>
    <t>Saudi Arabia</t>
  </si>
  <si>
    <t>Riyadh</t>
  </si>
  <si>
    <t>Senegal</t>
  </si>
  <si>
    <t>Dakar</t>
  </si>
  <si>
    <t>Serbia</t>
  </si>
  <si>
    <t>Belgrade</t>
  </si>
  <si>
    <t>Sierra Leone</t>
  </si>
  <si>
    <t>Freetown</t>
  </si>
  <si>
    <t>Singapore</t>
  </si>
  <si>
    <t>Slovakia</t>
  </si>
  <si>
    <t>Bratislava</t>
  </si>
  <si>
    <t>Slovenia</t>
  </si>
  <si>
    <t>Ljubljana</t>
  </si>
  <si>
    <t>Solomon Islands</t>
  </si>
  <si>
    <t>Honiara</t>
  </si>
  <si>
    <t>Somalia</t>
  </si>
  <si>
    <t>Mogadishu</t>
  </si>
  <si>
    <t>South Africa</t>
  </si>
  <si>
    <t>Pretoria</t>
  </si>
  <si>
    <t>South Korea</t>
  </si>
  <si>
    <t>Seoul</t>
  </si>
  <si>
    <t>South Sudan</t>
  </si>
  <si>
    <t>Juba</t>
  </si>
  <si>
    <t>Spain</t>
  </si>
  <si>
    <t>Madrid</t>
  </si>
  <si>
    <t>Sri Lanka</t>
  </si>
  <si>
    <t>Colombo</t>
  </si>
  <si>
    <t>Sudan</t>
  </si>
  <si>
    <t>Khartoum</t>
  </si>
  <si>
    <t>Suriname</t>
  </si>
  <si>
    <t>Paramaribo</t>
  </si>
  <si>
    <t>Sweden</t>
  </si>
  <si>
    <t>Stockholm</t>
  </si>
  <si>
    <t>Switzerland</t>
  </si>
  <si>
    <t>Bern</t>
  </si>
  <si>
    <t>Syria</t>
  </si>
  <si>
    <t>Damascus</t>
  </si>
  <si>
    <t>Tajikistan</t>
  </si>
  <si>
    <t>Dushanbe</t>
  </si>
  <si>
    <t>Tanzania</t>
  </si>
  <si>
    <t>Dodoma</t>
  </si>
  <si>
    <t>Thailand</t>
  </si>
  <si>
    <t>Bangkok</t>
  </si>
  <si>
    <t>Timor-Leste</t>
  </si>
  <si>
    <t>Dili</t>
  </si>
  <si>
    <t>Togo</t>
  </si>
  <si>
    <t>Lomé</t>
  </si>
  <si>
    <t>Tonga</t>
  </si>
  <si>
    <t>Nuku?alofa</t>
  </si>
  <si>
    <t>Trinidad and Tobago</t>
  </si>
  <si>
    <t>Port of Spain</t>
  </si>
  <si>
    <t>Tunisia</t>
  </si>
  <si>
    <t>Tunis</t>
  </si>
  <si>
    <t>Turkey</t>
  </si>
  <si>
    <t>Ankara</t>
  </si>
  <si>
    <t>Turkmenistan</t>
  </si>
  <si>
    <t>Ashgabat</t>
  </si>
  <si>
    <t>Tuvalu</t>
  </si>
  <si>
    <t>Funafuti</t>
  </si>
  <si>
    <t>Uganda</t>
  </si>
  <si>
    <t>Kampala</t>
  </si>
  <si>
    <t>Ukraine</t>
  </si>
  <si>
    <t>Kyiv</t>
  </si>
  <si>
    <t>United Arab Emirates</t>
  </si>
  <si>
    <t>Abu Dhabi</t>
  </si>
  <si>
    <t>United Kingdom</t>
  </si>
  <si>
    <t>London</t>
  </si>
  <si>
    <t>United States</t>
  </si>
  <si>
    <t>Washington, D.C.</t>
  </si>
  <si>
    <t>Uruguay</t>
  </si>
  <si>
    <t>Montevideo</t>
  </si>
  <si>
    <t>Uzbekistan</t>
  </si>
  <si>
    <t>Tashkent</t>
  </si>
  <si>
    <t>Vanuatu</t>
  </si>
  <si>
    <t>Port Vila</t>
  </si>
  <si>
    <t>Venezuela</t>
  </si>
  <si>
    <t>Caracas</t>
  </si>
  <si>
    <t>Vietnam</t>
  </si>
  <si>
    <t>Hanoi</t>
  </si>
  <si>
    <t>Yemen</t>
  </si>
  <si>
    <t>Sanaa</t>
  </si>
  <si>
    <t>Zambia</t>
  </si>
  <si>
    <t>Lusaka</t>
  </si>
  <si>
    <t>Zimbabwe</t>
  </si>
  <si>
    <t>Harare</t>
  </si>
  <si>
    <t>Cluster_Label</t>
  </si>
  <si>
    <t>Transitional Middle-Income</t>
  </si>
  <si>
    <t>Wealthy Developed Democracies</t>
  </si>
  <si>
    <t>Emerging Mixed Economies</t>
  </si>
  <si>
    <t>Low-Income Developing Nations</t>
  </si>
  <si>
    <t>outlier</t>
  </si>
  <si>
    <t>no</t>
  </si>
  <si>
    <t>yes</t>
  </si>
  <si>
    <t>Outlier_Label</t>
  </si>
  <si>
    <t>High-Density Equatorial Developed City-State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</si>
</sst>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92B43E-D63D-461B-AE4C-6471CAE1C671}" autoFormatId="16" applyNumberFormats="0" applyBorderFormats="0" applyFontFormats="0" applyPatternFormats="0" applyAlignmentFormats="0" applyWidthHeightFormats="0">
  <queryTableRefresh nextId="31" unboundColumnsRight="1">
    <queryTableFields count="30">
      <queryTableField id="1" name="Country" tableColumnId="1"/>
      <queryTableField id="2" name="Capital" tableColumnId="2"/>
      <queryTableField id="3" name="Constitutional_Form" tableColumnId="3"/>
      <queryTableField id="4" name="Religion" tableColumnId="4"/>
      <queryTableField id="5" name="Democracy_Score" tableColumnId="5"/>
      <queryTableField id="6" name="Democracy_Classification" tableColumnId="6"/>
      <queryTableField id="7" name="Development_Status" tableColumnId="7"/>
      <queryTableField id="8" name="Latitude" tableColumnId="8"/>
      <queryTableField id="9" name="Longitude" tableColumnId="9"/>
      <queryTableField id="10" name="Area" tableColumnId="10"/>
      <queryTableField id="11" name="Population" tableColumnId="11"/>
      <queryTableField id="12" name="GDP" tableColumnId="12"/>
      <queryTableField id="13" name="%Agriculture" tableColumnId="13"/>
      <queryTableField id="14" name="GDP_CAPITA" tableColumnId="14"/>
      <queryTableField id="15" name="Life_exp" tableColumnId="15"/>
      <queryTableField id="16" name="lat_pos" tableColumnId="16"/>
      <queryTableField id="17" name="lon_pos" tableColumnId="17"/>
      <queryTableField id="18" name="Equatorial" tableColumnId="18"/>
      <queryTableField id="19" name="Agriculture_Flag" tableColumnId="19"/>
      <queryTableField id="20" name="Continent" tableColumnId="20"/>
      <queryTableField id="21" name="Population_Density" tableColumnId="21"/>
      <queryTableField id="22" name="Region" tableColumnId="22"/>
      <queryTableField id="23" name="Landlocked" tableColumnId="23"/>
      <queryTableField id="24" name="GDP_per_Area" tableColumnId="24"/>
      <queryTableField id="25" name="Income_Level" tableColumnId="25"/>
      <queryTableField id="26" name="Life_Exp_Category" tableColumnId="26"/>
      <queryTableField id="27" name="Cluster" tableColumnId="27"/>
      <queryTableField id="29" dataBound="0" tableColumnId="29"/>
      <queryTableField id="28" name="outlier" tableColumnId="28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6160F6-5069-422E-87E9-5E896DC6DB8D}" name="country_clusters__2" displayName="country_clusters__2" ref="A1:AD1048576" tableType="queryTable" totalsRowShown="0">
  <autoFilter ref="A1:AD1048576" xr:uid="{A46160F6-5069-422E-87E9-5E896DC6DB8D}"/>
  <tableColumns count="30">
    <tableColumn id="1" xr3:uid="{CD6E8EB1-E1DA-4EAA-9D11-08FB2A540561}" uniqueName="1" name="Country" queryTableFieldId="1" dataDxfId="17"/>
    <tableColumn id="2" xr3:uid="{FEED1D36-974D-40DE-9661-7FD1B41BC7A3}" uniqueName="2" name="Capital" queryTableFieldId="2" dataDxfId="16"/>
    <tableColumn id="3" xr3:uid="{6F30DE53-8F29-4834-A32B-DB5AABBDF16A}" uniqueName="3" name="Constitutional_Form" queryTableFieldId="3" dataDxfId="15"/>
    <tableColumn id="4" xr3:uid="{03DEC94E-F9AF-4A84-A8F0-1BF974813F43}" uniqueName="4" name="Religion" queryTableFieldId="4" dataDxfId="14"/>
    <tableColumn id="5" xr3:uid="{9891F14A-0569-4CC7-A55F-28777EAAE09E}" uniqueName="5" name="Democracy_Score" queryTableFieldId="5"/>
    <tableColumn id="6" xr3:uid="{B76C1C39-3B1E-4A54-BF36-B61C053E511C}" uniqueName="6" name="Democracy_Classification" queryTableFieldId="6" dataDxfId="13"/>
    <tableColumn id="7" xr3:uid="{79F83810-3DD9-4828-99B6-6E5270821095}" uniqueName="7" name="Development_Status" queryTableFieldId="7" dataDxfId="12"/>
    <tableColumn id="8" xr3:uid="{BCE6CE61-3365-43DD-AAF7-F7BADBE37128}" uniqueName="8" name="Latitude" queryTableFieldId="8"/>
    <tableColumn id="9" xr3:uid="{7494575E-3263-4EDB-AE85-3C5A02FAFEEA}" uniqueName="9" name="Longitude" queryTableFieldId="9"/>
    <tableColumn id="10" xr3:uid="{0AFB8112-677D-4A48-A03D-39D973F485EB}" uniqueName="10" name="Area" queryTableFieldId="10"/>
    <tableColumn id="11" xr3:uid="{E07B66AA-09D5-4C75-AA96-A70DF6B3B821}" uniqueName="11" name="Population" queryTableFieldId="11"/>
    <tableColumn id="12" xr3:uid="{6F223F1A-9B98-43D6-BC87-7248588EAC68}" uniqueName="12" name="GDP" queryTableFieldId="12"/>
    <tableColumn id="13" xr3:uid="{63F05B42-EA32-4634-8E96-7DB0653E44C6}" uniqueName="13" name="%Agriculture" queryTableFieldId="13"/>
    <tableColumn id="14" xr3:uid="{C6DD6877-1A6F-4E68-9422-4F6D473FBB7F}" uniqueName="14" name="GDP_CAPITA" queryTableFieldId="14"/>
    <tableColumn id="15" xr3:uid="{EDCCD6B5-3385-4FA4-9BCF-ED2AFF40C6A4}" uniqueName="15" name="Life_exp" queryTableFieldId="15"/>
    <tableColumn id="16" xr3:uid="{959F978F-156A-4F2D-869C-9FEB1121A897}" uniqueName="16" name="lat_pos" queryTableFieldId="16" dataDxfId="11"/>
    <tableColumn id="17" xr3:uid="{9CD1C690-7550-4629-9B17-6264F3ACE93F}" uniqueName="17" name="lon_pos" queryTableFieldId="17" dataDxfId="10"/>
    <tableColumn id="18" xr3:uid="{81E21336-E823-4B2F-92BB-B8FA775E7652}" uniqueName="18" name="Equatorial" queryTableFieldId="18" dataDxfId="9"/>
    <tableColumn id="19" xr3:uid="{B4C4ED7A-E77B-4156-B585-F777E63950BA}" uniqueName="19" name="Agriculture_Flag" queryTableFieldId="19" dataDxfId="8"/>
    <tableColumn id="20" xr3:uid="{39006A43-0940-46A2-90B0-4A74AF322D37}" uniqueName="20" name="Continent" queryTableFieldId="20" dataDxfId="7"/>
    <tableColumn id="21" xr3:uid="{BE4BE7B1-085B-4358-91C0-5E7E529D6AB1}" uniqueName="21" name="Population_Density" queryTableFieldId="21"/>
    <tableColumn id="22" xr3:uid="{3DD0AE1E-430C-4834-AD82-B39E244F4DDE}" uniqueName="22" name="Region" queryTableFieldId="22" dataDxfId="6"/>
    <tableColumn id="23" xr3:uid="{272E996B-9337-452E-BC2C-B7CB933254B8}" uniqueName="23" name="Landlocked" queryTableFieldId="23" dataDxfId="5"/>
    <tableColumn id="24" xr3:uid="{5111611A-C880-4528-8483-35C8FC4335F8}" uniqueName="24" name="GDP_per_Area" queryTableFieldId="24"/>
    <tableColumn id="25" xr3:uid="{61B16134-019F-4BA7-BB32-5F4D346E127F}" uniqueName="25" name="Income_Level" queryTableFieldId="25" dataDxfId="4"/>
    <tableColumn id="26" xr3:uid="{96CAF04E-B1E7-4FE4-861B-9B5DC970298E}" uniqueName="26" name="Life_Exp_Category" queryTableFieldId="26" dataDxfId="3"/>
    <tableColumn id="27" xr3:uid="{7429896F-D32E-4F9B-962A-D042EDA5806B}" uniqueName="27" name="Cluster" queryTableFieldId="27"/>
    <tableColumn id="29" xr3:uid="{97FB0121-D464-4796-820C-BD0FD1A2E99A}" uniqueName="29" name="Cluster_Label" queryTableFieldId="29" dataDxfId="1"/>
    <tableColumn id="28" xr3:uid="{C075586A-3553-46D8-94CE-C58389AC3B2F}" uniqueName="28" name="outlier" queryTableFieldId="28" dataDxfId="2"/>
    <tableColumn id="30" xr3:uid="{CE82EB7F-40CA-43DE-9E34-9FD4EA9EED7A}" uniqueName="30" name="Outlier_Label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1704-C671-4093-B6D7-E5EDE4B37C69}">
  <dimension ref="A1:AD193"/>
  <sheetViews>
    <sheetView tabSelected="1" topLeftCell="T136" workbookViewId="0">
      <selection activeCell="AB31" sqref="AB31"/>
    </sheetView>
  </sheetViews>
  <sheetFormatPr defaultRowHeight="14.5" x14ac:dyDescent="0.35"/>
  <cols>
    <col min="1" max="1" width="29.26953125" style="1" bestFit="1" customWidth="1"/>
    <col min="2" max="2" width="27.90625" style="1" bestFit="1" customWidth="1"/>
    <col min="3" max="3" width="30.90625" style="1" bestFit="1" customWidth="1"/>
    <col min="4" max="4" width="15.6328125" style="1" bestFit="1" customWidth="1"/>
    <col min="5" max="5" width="18.90625" bestFit="1" customWidth="1"/>
    <col min="6" max="6" width="26" style="1" bestFit="1" customWidth="1"/>
    <col min="7" max="7" width="21.54296875" style="1" bestFit="1" customWidth="1"/>
    <col min="8" max="8" width="10.36328125" bestFit="1" customWidth="1"/>
    <col min="9" max="9" width="11.81640625" bestFit="1" customWidth="1"/>
    <col min="10" max="10" width="8.81640625" bestFit="1" customWidth="1"/>
    <col min="11" max="11" width="12.54296875" bestFit="1" customWidth="1"/>
    <col min="12" max="12" width="11.81640625" bestFit="1" customWidth="1"/>
    <col min="13" max="13" width="14.1796875" bestFit="1" customWidth="1"/>
    <col min="14" max="14" width="14" bestFit="1" customWidth="1"/>
    <col min="15" max="15" width="10.453125" bestFit="1" customWidth="1"/>
    <col min="16" max="16" width="9.36328125" style="1" bestFit="1" customWidth="1"/>
    <col min="17" max="17" width="9.90625" style="1" bestFit="1" customWidth="1"/>
    <col min="18" max="18" width="12" style="1" bestFit="1" customWidth="1"/>
    <col min="19" max="19" width="17" style="1" bestFit="1" customWidth="1"/>
    <col min="20" max="20" width="13.1796875" style="1" bestFit="1" customWidth="1"/>
    <col min="21" max="21" width="20.26953125" bestFit="1" customWidth="1"/>
    <col min="22" max="22" width="24.08984375" style="1" bestFit="1" customWidth="1"/>
    <col min="23" max="23" width="13.08984375" style="1" bestFit="1" customWidth="1"/>
    <col min="24" max="24" width="15.54296875" bestFit="1" customWidth="1"/>
    <col min="25" max="25" width="15.26953125" style="1" bestFit="1" customWidth="1"/>
    <col min="26" max="26" width="19.36328125" style="1" bestFit="1" customWidth="1"/>
    <col min="27" max="27" width="9.6328125" bestFit="1" customWidth="1"/>
    <col min="28" max="28" width="28.90625" bestFit="1" customWidth="1"/>
    <col min="29" max="29" width="9" style="1" bestFit="1" customWidth="1"/>
    <col min="30" max="30" width="15.26953125" style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477</v>
      </c>
      <c r="AC1" t="s">
        <v>482</v>
      </c>
      <c r="AD1" s="2" t="s">
        <v>485</v>
      </c>
    </row>
    <row r="2" spans="1:30" x14ac:dyDescent="0.35">
      <c r="A2" s="1" t="s">
        <v>27</v>
      </c>
      <c r="B2" s="1" t="s">
        <v>28</v>
      </c>
      <c r="C2" s="1" t="s">
        <v>29</v>
      </c>
      <c r="D2" s="1" t="s">
        <v>30</v>
      </c>
      <c r="E2">
        <v>0.25</v>
      </c>
      <c r="F2" s="1" t="s">
        <v>31</v>
      </c>
      <c r="G2" s="1" t="s">
        <v>32</v>
      </c>
      <c r="H2">
        <v>34.532800000000002</v>
      </c>
      <c r="I2">
        <v>69.165800000000004</v>
      </c>
      <c r="J2">
        <v>652230</v>
      </c>
      <c r="K2">
        <v>41128771</v>
      </c>
      <c r="L2">
        <v>19101353833</v>
      </c>
      <c r="M2">
        <v>0.57999999999999996</v>
      </c>
      <c r="N2">
        <v>464.43</v>
      </c>
      <c r="O2">
        <v>64.5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>
        <v>63.1</v>
      </c>
      <c r="V2" s="1" t="s">
        <v>38</v>
      </c>
      <c r="W2" s="1" t="s">
        <v>36</v>
      </c>
      <c r="X2">
        <v>29286</v>
      </c>
      <c r="Y2" s="1" t="s">
        <v>39</v>
      </c>
      <c r="Z2" s="1" t="s">
        <v>39</v>
      </c>
      <c r="AA2">
        <v>3</v>
      </c>
      <c r="AB2" s="1" t="s">
        <v>478</v>
      </c>
      <c r="AC2" s="1" t="s">
        <v>483</v>
      </c>
      <c r="AD2" s="1" t="str">
        <f>IF(AC2="no", "", IF(A2="Australia", "Low-Density Developed Outlier", IF(A2="Liechtenstein", "Ultra-Wealthy Microstate", IF(A2="Monaco", "Extreme Density Microstate", IF(A2="Singapore", "High-Density City-State", "Unclassified Outlier")))))</f>
        <v/>
      </c>
    </row>
    <row r="3" spans="1:30" x14ac:dyDescent="0.35">
      <c r="A3" s="1" t="s">
        <v>40</v>
      </c>
      <c r="B3" s="1" t="s">
        <v>41</v>
      </c>
      <c r="C3" s="1" t="s">
        <v>42</v>
      </c>
      <c r="D3" s="1" t="s">
        <v>30</v>
      </c>
      <c r="E3">
        <v>6.2</v>
      </c>
      <c r="F3" s="1" t="s">
        <v>43</v>
      </c>
      <c r="G3" s="1" t="s">
        <v>32</v>
      </c>
      <c r="H3">
        <v>41.328899999999997</v>
      </c>
      <c r="I3">
        <v>19.817799999999998</v>
      </c>
      <c r="J3">
        <v>28748</v>
      </c>
      <c r="K3">
        <v>2775634</v>
      </c>
      <c r="L3">
        <v>15278077447</v>
      </c>
      <c r="M3">
        <v>0.43</v>
      </c>
      <c r="N3">
        <v>5504.36</v>
      </c>
      <c r="O3">
        <v>78.5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44</v>
      </c>
      <c r="U3">
        <v>96.6</v>
      </c>
      <c r="V3" s="1" t="s">
        <v>45</v>
      </c>
      <c r="W3" s="1" t="s">
        <v>35</v>
      </c>
      <c r="X3">
        <v>531448</v>
      </c>
      <c r="Y3" s="1" t="s">
        <v>46</v>
      </c>
      <c r="Z3" s="1" t="s">
        <v>47</v>
      </c>
      <c r="AA3">
        <v>2</v>
      </c>
      <c r="AB3" s="1" t="s">
        <v>479</v>
      </c>
      <c r="AC3" s="1" t="s">
        <v>483</v>
      </c>
      <c r="AD3" s="1" t="str">
        <f>IF(AC3="no", "", IF(A3="Australia", "Low-Density Developed Outlier", IF(A3="Liechtenstein", "Ultra-Wealthy Microstate", IF(A3="Monaco", "Extreme Density Microstate", IF(A3="Singapore", "High-Density City-State", "Unclassified Outlier")))))</f>
        <v/>
      </c>
    </row>
    <row r="4" spans="1:30" x14ac:dyDescent="0.35">
      <c r="A4" s="1" t="s">
        <v>48</v>
      </c>
      <c r="B4" s="1" t="s">
        <v>49</v>
      </c>
      <c r="C4" s="1" t="s">
        <v>50</v>
      </c>
      <c r="D4" s="1" t="s">
        <v>30</v>
      </c>
      <c r="E4">
        <v>3.55</v>
      </c>
      <c r="F4" s="1" t="s">
        <v>31</v>
      </c>
      <c r="G4" s="1" t="s">
        <v>32</v>
      </c>
      <c r="H4">
        <v>36.776400000000002</v>
      </c>
      <c r="I4">
        <v>3.0586000000000002</v>
      </c>
      <c r="J4">
        <v>2381741</v>
      </c>
      <c r="K4">
        <v>44903225</v>
      </c>
      <c r="L4">
        <v>169988236398</v>
      </c>
      <c r="M4">
        <v>0.17</v>
      </c>
      <c r="N4">
        <v>3785.66</v>
      </c>
      <c r="O4">
        <v>76.7</v>
      </c>
      <c r="P4" s="1" t="s">
        <v>33</v>
      </c>
      <c r="Q4" s="1" t="s">
        <v>34</v>
      </c>
      <c r="R4" s="1" t="s">
        <v>35</v>
      </c>
      <c r="S4" s="1" t="s">
        <v>35</v>
      </c>
      <c r="T4" s="1" t="s">
        <v>51</v>
      </c>
      <c r="U4">
        <v>18.899999999999999</v>
      </c>
      <c r="V4" s="1" t="s">
        <v>52</v>
      </c>
      <c r="W4" s="1" t="s">
        <v>35</v>
      </c>
      <c r="X4">
        <v>71371</v>
      </c>
      <c r="Y4" s="1" t="s">
        <v>53</v>
      </c>
      <c r="Z4" s="1" t="s">
        <v>47</v>
      </c>
      <c r="AA4">
        <v>0</v>
      </c>
      <c r="AB4" s="1" t="s">
        <v>480</v>
      </c>
      <c r="AC4" s="1" t="s">
        <v>483</v>
      </c>
      <c r="AD4" s="1" t="str">
        <f>IF(AC4="no", "", IF(A4="Australia", "Low-Density Developed Outlier", IF(A4="Liechtenstein", "Ultra-Wealthy Microstate", IF(A4="Monaco", "Extreme Density Microstate", IF(A4="Singapore", "High-Density City-State", "Unclassified Outlier")))))</f>
        <v/>
      </c>
    </row>
    <row r="5" spans="1:30" x14ac:dyDescent="0.35">
      <c r="A5" s="1" t="s">
        <v>54</v>
      </c>
      <c r="B5" s="1" t="s">
        <v>55</v>
      </c>
      <c r="C5" s="1" t="s">
        <v>56</v>
      </c>
      <c r="D5" s="1" t="s">
        <v>57</v>
      </c>
      <c r="E5">
        <v>8.61</v>
      </c>
      <c r="F5" s="1" t="s">
        <v>58</v>
      </c>
      <c r="G5" s="1" t="s">
        <v>59</v>
      </c>
      <c r="H5">
        <v>42.5</v>
      </c>
      <c r="I5">
        <v>1.52</v>
      </c>
      <c r="J5">
        <v>468</v>
      </c>
      <c r="K5">
        <v>79824</v>
      </c>
      <c r="L5">
        <v>3154057987</v>
      </c>
      <c r="M5">
        <v>0.4</v>
      </c>
      <c r="N5">
        <v>39512.65</v>
      </c>
      <c r="O5">
        <v>83.5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44</v>
      </c>
      <c r="U5">
        <v>170.6</v>
      </c>
      <c r="V5" s="1" t="s">
        <v>60</v>
      </c>
      <c r="W5" s="1" t="s">
        <v>36</v>
      </c>
      <c r="X5">
        <v>6739440</v>
      </c>
      <c r="Y5" s="1" t="s">
        <v>47</v>
      </c>
      <c r="Z5" s="1" t="s">
        <v>47</v>
      </c>
      <c r="AA5">
        <v>2</v>
      </c>
      <c r="AB5" s="1" t="s">
        <v>479</v>
      </c>
      <c r="AC5" s="1" t="s">
        <v>483</v>
      </c>
      <c r="AD5" s="1" t="str">
        <f>IF(AC5="no", "", IF(A5="Australia", "Low-Density Developed Outlier", IF(A5="Liechtenstein", "Ultra-Wealthy Microstate", IF(A5="Monaco", "Extreme Density Microstate", IF(A5="Singapore", "High-Density City-State", "Unclassified Outlier")))))</f>
        <v/>
      </c>
    </row>
    <row r="6" spans="1:30" x14ac:dyDescent="0.35">
      <c r="A6" s="1" t="s">
        <v>61</v>
      </c>
      <c r="B6" s="1" t="s">
        <v>62</v>
      </c>
      <c r="C6" s="1" t="s">
        <v>50</v>
      </c>
      <c r="D6" s="1" t="s">
        <v>57</v>
      </c>
      <c r="E6">
        <v>4.05</v>
      </c>
      <c r="F6" s="1" t="s">
        <v>63</v>
      </c>
      <c r="G6" s="1" t="s">
        <v>32</v>
      </c>
      <c r="H6">
        <v>-8.8383000000000003</v>
      </c>
      <c r="I6">
        <v>13.234400000000001</v>
      </c>
      <c r="J6">
        <v>1246700</v>
      </c>
      <c r="K6">
        <v>35588987</v>
      </c>
      <c r="L6">
        <v>94635415870</v>
      </c>
      <c r="M6">
        <v>0.48</v>
      </c>
      <c r="N6">
        <v>2659.12</v>
      </c>
      <c r="O6">
        <v>60.8</v>
      </c>
      <c r="P6" s="1" t="s">
        <v>33</v>
      </c>
      <c r="Q6" s="1" t="s">
        <v>64</v>
      </c>
      <c r="R6" s="1" t="s">
        <v>36</v>
      </c>
      <c r="S6" s="1" t="s">
        <v>36</v>
      </c>
      <c r="T6" s="1" t="s">
        <v>51</v>
      </c>
      <c r="U6">
        <v>28.5</v>
      </c>
      <c r="V6" s="1" t="s">
        <v>65</v>
      </c>
      <c r="W6" s="1" t="s">
        <v>35</v>
      </c>
      <c r="X6">
        <v>75909</v>
      </c>
      <c r="Y6" s="1" t="s">
        <v>53</v>
      </c>
      <c r="Z6" s="1" t="s">
        <v>39</v>
      </c>
      <c r="AA6">
        <v>1</v>
      </c>
      <c r="AB6" s="1" t="s">
        <v>481</v>
      </c>
      <c r="AC6" s="1" t="s">
        <v>483</v>
      </c>
      <c r="AD6" s="1" t="str">
        <f>IF(AC6="no", "", IF(A6="Australia", "Low-Density Developed Outlier", IF(A6="Liechtenstein", "Ultra-Wealthy Microstate", IF(A6="Monaco", "Extreme Density Microstate", IF(A6="Singapore", "High-Density City-State", "Unclassified Outlier")))))</f>
        <v/>
      </c>
    </row>
    <row r="7" spans="1:30" x14ac:dyDescent="0.35">
      <c r="A7" s="1" t="s">
        <v>66</v>
      </c>
      <c r="B7" s="1" t="s">
        <v>67</v>
      </c>
      <c r="C7" s="1" t="s">
        <v>68</v>
      </c>
      <c r="D7" s="1" t="s">
        <v>57</v>
      </c>
      <c r="E7">
        <v>6.9649999999999999</v>
      </c>
      <c r="F7" s="1" t="s">
        <v>43</v>
      </c>
      <c r="G7" s="1" t="s">
        <v>32</v>
      </c>
      <c r="H7">
        <v>17.121099999999998</v>
      </c>
      <c r="I7">
        <v>-61.844700000000003</v>
      </c>
      <c r="J7">
        <v>440</v>
      </c>
      <c r="K7">
        <v>93763</v>
      </c>
      <c r="L7">
        <v>1727759259</v>
      </c>
      <c r="M7">
        <v>0.21</v>
      </c>
      <c r="N7">
        <v>18426.88</v>
      </c>
      <c r="O7">
        <v>76.900000000000006</v>
      </c>
      <c r="P7" s="1" t="s">
        <v>69</v>
      </c>
      <c r="Q7" s="1" t="s">
        <v>34</v>
      </c>
      <c r="R7" s="1" t="s">
        <v>36</v>
      </c>
      <c r="S7" s="1" t="s">
        <v>36</v>
      </c>
      <c r="T7" s="1" t="s">
        <v>70</v>
      </c>
      <c r="U7">
        <v>213.1</v>
      </c>
      <c r="V7" s="1" t="s">
        <v>71</v>
      </c>
      <c r="W7" s="1" t="s">
        <v>35</v>
      </c>
      <c r="X7">
        <v>3926726</v>
      </c>
      <c r="Y7" s="1" t="s">
        <v>47</v>
      </c>
      <c r="Z7" s="1" t="s">
        <v>47</v>
      </c>
      <c r="AA7">
        <v>0</v>
      </c>
      <c r="AB7" s="1" t="s">
        <v>480</v>
      </c>
      <c r="AC7" s="1" t="s">
        <v>483</v>
      </c>
      <c r="AD7" s="1" t="str">
        <f>IF(AC7="no", "", IF(A7="Australia", "Low-Density Developed Outlier", IF(A7="Liechtenstein", "Ultra-Wealthy Microstate", IF(A7="Monaco", "Extreme Density Microstate", IF(A7="Singapore", "High-Density City-State", "Unclassified Outlier")))))</f>
        <v/>
      </c>
    </row>
    <row r="8" spans="1:30" x14ac:dyDescent="0.35">
      <c r="A8" s="1" t="s">
        <v>72</v>
      </c>
      <c r="B8" s="1" t="s">
        <v>73</v>
      </c>
      <c r="C8" s="1" t="s">
        <v>74</v>
      </c>
      <c r="D8" s="1" t="s">
        <v>57</v>
      </c>
      <c r="E8">
        <v>6.51</v>
      </c>
      <c r="F8" s="1" t="s">
        <v>43</v>
      </c>
      <c r="G8" s="1" t="s">
        <v>32</v>
      </c>
      <c r="H8">
        <v>-34.6</v>
      </c>
      <c r="I8">
        <v>-58.38</v>
      </c>
      <c r="J8">
        <v>2780400</v>
      </c>
      <c r="K8">
        <v>46234830</v>
      </c>
      <c r="L8">
        <v>449663446954</v>
      </c>
      <c r="M8">
        <v>0.54</v>
      </c>
      <c r="N8">
        <v>9725.64</v>
      </c>
      <c r="O8">
        <v>76.5</v>
      </c>
      <c r="P8" s="1" t="s">
        <v>69</v>
      </c>
      <c r="Q8" s="1" t="s">
        <v>64</v>
      </c>
      <c r="R8" s="1" t="s">
        <v>35</v>
      </c>
      <c r="S8" s="1" t="s">
        <v>36</v>
      </c>
      <c r="T8" s="1" t="s">
        <v>75</v>
      </c>
      <c r="U8">
        <v>16.600000000000001</v>
      </c>
      <c r="V8" s="1" t="s">
        <v>76</v>
      </c>
      <c r="W8" s="1" t="s">
        <v>35</v>
      </c>
      <c r="X8">
        <v>161726</v>
      </c>
      <c r="Y8" s="1" t="s">
        <v>46</v>
      </c>
      <c r="Z8" s="1" t="s">
        <v>47</v>
      </c>
      <c r="AA8">
        <v>1</v>
      </c>
      <c r="AB8" s="1" t="s">
        <v>481</v>
      </c>
      <c r="AC8" s="1" t="s">
        <v>483</v>
      </c>
      <c r="AD8" s="1" t="str">
        <f>IF(AC8="no", "", IF(A8="Australia", "Low-Density Developed Outlier", IF(A8="Liechtenstein", "Ultra-Wealthy Microstate", IF(A8="Monaco", "Extreme Density Microstate", IF(A8="Singapore", "High-Density City-State", "Unclassified Outlier")))))</f>
        <v/>
      </c>
    </row>
    <row r="9" spans="1:30" x14ac:dyDescent="0.35">
      <c r="A9" s="1" t="s">
        <v>77</v>
      </c>
      <c r="B9" s="1" t="s">
        <v>78</v>
      </c>
      <c r="C9" s="1" t="s">
        <v>42</v>
      </c>
      <c r="D9" s="1" t="s">
        <v>57</v>
      </c>
      <c r="E9">
        <v>5.35</v>
      </c>
      <c r="F9" s="1" t="s">
        <v>63</v>
      </c>
      <c r="G9" s="1" t="s">
        <v>32</v>
      </c>
      <c r="H9">
        <v>40.18</v>
      </c>
      <c r="I9">
        <v>44.51</v>
      </c>
      <c r="J9">
        <v>29743</v>
      </c>
      <c r="K9">
        <v>2780469</v>
      </c>
      <c r="L9">
        <v>13672802158</v>
      </c>
      <c r="M9">
        <v>0.59</v>
      </c>
      <c r="N9">
        <v>4917.4399999999996</v>
      </c>
      <c r="O9">
        <v>74.900000000000006</v>
      </c>
      <c r="P9" s="1" t="s">
        <v>33</v>
      </c>
      <c r="Q9" s="1" t="s">
        <v>34</v>
      </c>
      <c r="R9" s="1" t="s">
        <v>35</v>
      </c>
      <c r="S9" s="1" t="s">
        <v>36</v>
      </c>
      <c r="T9" s="1" t="s">
        <v>37</v>
      </c>
      <c r="U9">
        <v>93.5</v>
      </c>
      <c r="V9" s="1" t="s">
        <v>79</v>
      </c>
      <c r="W9" s="1" t="s">
        <v>36</v>
      </c>
      <c r="X9">
        <v>459698</v>
      </c>
      <c r="Y9" s="1" t="s">
        <v>46</v>
      </c>
      <c r="Z9" s="1" t="s">
        <v>80</v>
      </c>
      <c r="AA9">
        <v>3</v>
      </c>
      <c r="AB9" s="1" t="s">
        <v>478</v>
      </c>
      <c r="AC9" s="1" t="s">
        <v>483</v>
      </c>
      <c r="AD9" s="1" t="str">
        <f>IF(AC9="no", "", IF(A9="Australia", "Low-Density Developed Outlier", IF(A9="Liechtenstein", "Ultra-Wealthy Microstate", IF(A9="Monaco", "Extreme Density Microstate", IF(A9="Singapore", "High-Density City-State", "Unclassified Outlier")))))</f>
        <v/>
      </c>
    </row>
    <row r="10" spans="1:30" x14ac:dyDescent="0.35">
      <c r="A10" s="1" t="s">
        <v>81</v>
      </c>
      <c r="B10" s="1" t="s">
        <v>82</v>
      </c>
      <c r="C10" s="1" t="s">
        <v>83</v>
      </c>
      <c r="D10" s="1" t="s">
        <v>57</v>
      </c>
      <c r="E10">
        <v>8.85</v>
      </c>
      <c r="F10" s="1" t="s">
        <v>58</v>
      </c>
      <c r="G10" s="1" t="s">
        <v>59</v>
      </c>
      <c r="H10">
        <v>-35.293100000000003</v>
      </c>
      <c r="I10">
        <v>149.12690000000001</v>
      </c>
      <c r="J10">
        <v>7692024</v>
      </c>
      <c r="K10">
        <v>25978935</v>
      </c>
      <c r="L10">
        <v>1392680589329</v>
      </c>
      <c r="M10">
        <v>0.48</v>
      </c>
      <c r="N10">
        <v>53608.07</v>
      </c>
      <c r="O10">
        <v>82.7</v>
      </c>
      <c r="P10" s="1" t="s">
        <v>33</v>
      </c>
      <c r="Q10" s="1" t="s">
        <v>64</v>
      </c>
      <c r="R10" s="1" t="s">
        <v>35</v>
      </c>
      <c r="S10" s="1" t="s">
        <v>36</v>
      </c>
      <c r="T10" s="1" t="s">
        <v>84</v>
      </c>
      <c r="U10">
        <v>3.4</v>
      </c>
      <c r="V10" s="1" t="s">
        <v>85</v>
      </c>
      <c r="W10" s="1" t="s">
        <v>35</v>
      </c>
      <c r="X10">
        <v>181055</v>
      </c>
      <c r="Y10" s="1" t="s">
        <v>47</v>
      </c>
      <c r="Z10" s="1" t="s">
        <v>47</v>
      </c>
      <c r="AA10">
        <v>0</v>
      </c>
      <c r="AB10" s="1" t="s">
        <v>480</v>
      </c>
      <c r="AC10" s="1" t="s">
        <v>484</v>
      </c>
      <c r="AD10" s="1" t="str">
        <f>IF(AC10="no", "", IF(A10="Australia", "Low-Density Developed Outlier", IF(A10="Liechtenstein", "Ultra-Wealthy Microstate", IF(A10="Monaco", "Extreme Density Microstate", IF(A10="Singapore", "High-Density City-State", "Unclassified Outlier")))))</f>
        <v>Low-Density Developed Outlier</v>
      </c>
    </row>
    <row r="11" spans="1:30" x14ac:dyDescent="0.35">
      <c r="A11" s="1" t="s">
        <v>86</v>
      </c>
      <c r="B11" s="1" t="s">
        <v>87</v>
      </c>
      <c r="C11" s="1" t="s">
        <v>88</v>
      </c>
      <c r="D11" s="1" t="s">
        <v>57</v>
      </c>
      <c r="E11">
        <v>8.2799999999999994</v>
      </c>
      <c r="F11" s="1" t="s">
        <v>58</v>
      </c>
      <c r="G11" s="1" t="s">
        <v>59</v>
      </c>
      <c r="H11">
        <v>48.2</v>
      </c>
      <c r="I11">
        <v>16.37</v>
      </c>
      <c r="J11">
        <v>83879</v>
      </c>
      <c r="K11">
        <v>9042528</v>
      </c>
      <c r="L11">
        <v>446314739528</v>
      </c>
      <c r="M11">
        <v>0.32</v>
      </c>
      <c r="N11">
        <v>49357.3</v>
      </c>
      <c r="O11">
        <v>81.599999999999994</v>
      </c>
      <c r="P11" s="1" t="s">
        <v>33</v>
      </c>
      <c r="Q11" s="1" t="s">
        <v>34</v>
      </c>
      <c r="R11" s="1" t="s">
        <v>35</v>
      </c>
      <c r="S11" s="1" t="s">
        <v>36</v>
      </c>
      <c r="T11" s="1" t="s">
        <v>44</v>
      </c>
      <c r="U11">
        <v>107.8</v>
      </c>
      <c r="V11" s="1" t="s">
        <v>45</v>
      </c>
      <c r="W11" s="1" t="s">
        <v>36</v>
      </c>
      <c r="X11">
        <v>5320935</v>
      </c>
      <c r="Y11" s="1" t="s">
        <v>47</v>
      </c>
      <c r="Z11" s="1" t="s">
        <v>47</v>
      </c>
      <c r="AA11">
        <v>2</v>
      </c>
      <c r="AB11" s="1" t="s">
        <v>479</v>
      </c>
      <c r="AC11" s="1" t="s">
        <v>483</v>
      </c>
      <c r="AD11" s="1" t="str">
        <f>IF(AC11="no", "", IF(A11="Australia", "Low-Density Developed Outlier", IF(A11="Liechtenstein", "Ultra-Wealthy Microstate", IF(A11="Monaco", "Extreme Density Microstate", IF(A11="Singapore", "High-Density City-State", "Unclassified Outlier")))))</f>
        <v/>
      </c>
    </row>
    <row r="12" spans="1:30" x14ac:dyDescent="0.35">
      <c r="A12" s="1" t="s">
        <v>89</v>
      </c>
      <c r="B12" s="1" t="s">
        <v>90</v>
      </c>
      <c r="C12" s="1" t="s">
        <v>50</v>
      </c>
      <c r="D12" s="1" t="s">
        <v>30</v>
      </c>
      <c r="E12">
        <v>2.8</v>
      </c>
      <c r="F12" s="1" t="s">
        <v>31</v>
      </c>
      <c r="G12" s="1" t="s">
        <v>32</v>
      </c>
      <c r="H12">
        <v>40.380000000000003</v>
      </c>
      <c r="I12">
        <v>49.87</v>
      </c>
      <c r="J12">
        <v>86600</v>
      </c>
      <c r="K12">
        <v>10175016</v>
      </c>
      <c r="L12">
        <v>39207000000</v>
      </c>
      <c r="M12">
        <v>0.57999999999999996</v>
      </c>
      <c r="N12">
        <v>3853.26</v>
      </c>
      <c r="O12">
        <v>72.900000000000006</v>
      </c>
      <c r="P12" s="1" t="s">
        <v>33</v>
      </c>
      <c r="Q12" s="1" t="s">
        <v>34</v>
      </c>
      <c r="R12" s="1" t="s">
        <v>35</v>
      </c>
      <c r="S12" s="1" t="s">
        <v>36</v>
      </c>
      <c r="T12" s="1" t="s">
        <v>37</v>
      </c>
      <c r="U12">
        <v>117.5</v>
      </c>
      <c r="V12" s="1" t="s">
        <v>79</v>
      </c>
      <c r="W12" s="1" t="s">
        <v>36</v>
      </c>
      <c r="X12">
        <v>452737</v>
      </c>
      <c r="Y12" s="1" t="s">
        <v>53</v>
      </c>
      <c r="Z12" s="1" t="s">
        <v>80</v>
      </c>
      <c r="AA12">
        <v>3</v>
      </c>
      <c r="AB12" s="1" t="s">
        <v>478</v>
      </c>
      <c r="AC12" s="1" t="s">
        <v>483</v>
      </c>
      <c r="AD12" s="1" t="str">
        <f>IF(AC12="no", "", IF(A12="Australia", "Low-Density Developed Outlier", IF(A12="Liechtenstein", "Ultra-Wealthy Microstate", IF(A12="Monaco", "Extreme Density Microstate", IF(A12="Singapore", "High-Density City-State", "Unclassified Outlier")))))</f>
        <v/>
      </c>
    </row>
    <row r="13" spans="1:30" x14ac:dyDescent="0.35">
      <c r="A13" s="1" t="s">
        <v>91</v>
      </c>
      <c r="B13" s="1" t="s">
        <v>92</v>
      </c>
      <c r="C13" s="1" t="s">
        <v>68</v>
      </c>
      <c r="D13" s="1" t="s">
        <v>57</v>
      </c>
      <c r="E13">
        <v>8.27</v>
      </c>
      <c r="F13" s="1" t="s">
        <v>58</v>
      </c>
      <c r="G13" s="1" t="s">
        <v>32</v>
      </c>
      <c r="H13">
        <v>25.078099999999999</v>
      </c>
      <c r="I13">
        <v>-77.3386</v>
      </c>
      <c r="J13">
        <v>13878</v>
      </c>
      <c r="K13">
        <v>409984</v>
      </c>
      <c r="L13">
        <v>12827000000</v>
      </c>
      <c r="M13">
        <v>0.01</v>
      </c>
      <c r="N13">
        <v>31286.59</v>
      </c>
      <c r="O13">
        <v>73.8</v>
      </c>
      <c r="P13" s="1" t="s">
        <v>69</v>
      </c>
      <c r="Q13" s="1" t="s">
        <v>34</v>
      </c>
      <c r="R13" s="1" t="s">
        <v>35</v>
      </c>
      <c r="S13" s="1" t="s">
        <v>35</v>
      </c>
      <c r="T13" s="1" t="s">
        <v>70</v>
      </c>
      <c r="U13">
        <v>29.5</v>
      </c>
      <c r="V13" s="1" t="s">
        <v>70</v>
      </c>
      <c r="W13" s="1" t="s">
        <v>35</v>
      </c>
      <c r="X13">
        <v>924269</v>
      </c>
      <c r="Y13" s="1" t="s">
        <v>47</v>
      </c>
      <c r="Z13" s="1" t="s">
        <v>80</v>
      </c>
      <c r="AA13">
        <v>0</v>
      </c>
      <c r="AB13" s="1" t="s">
        <v>480</v>
      </c>
      <c r="AC13" s="1" t="s">
        <v>483</v>
      </c>
      <c r="AD13" s="1" t="str">
        <f>IF(AC13="no", "", IF(A13="Australia", "Low-Density Developed Outlier", IF(A13="Liechtenstein", "Ultra-Wealthy Microstate", IF(A13="Monaco", "Extreme Density Microstate", IF(A13="Singapore", "High-Density City-State", "Unclassified Outlier")))))</f>
        <v/>
      </c>
    </row>
    <row r="14" spans="1:30" x14ac:dyDescent="0.35">
      <c r="A14" s="1" t="s">
        <v>93</v>
      </c>
      <c r="B14" s="1" t="s">
        <v>94</v>
      </c>
      <c r="C14" s="1" t="s">
        <v>68</v>
      </c>
      <c r="D14" s="1" t="s">
        <v>30</v>
      </c>
      <c r="E14">
        <v>2.4500000000000002</v>
      </c>
      <c r="F14" s="1" t="s">
        <v>31</v>
      </c>
      <c r="G14" s="1" t="s">
        <v>32</v>
      </c>
      <c r="H14">
        <v>26.225000000000001</v>
      </c>
      <c r="I14">
        <v>50.577500000000001</v>
      </c>
      <c r="J14">
        <v>787</v>
      </c>
      <c r="K14">
        <v>1472233</v>
      </c>
      <c r="L14">
        <v>38574069149</v>
      </c>
      <c r="M14">
        <v>0.11</v>
      </c>
      <c r="N14">
        <v>26201.06</v>
      </c>
      <c r="O14">
        <v>77.2</v>
      </c>
      <c r="P14" s="1" t="s">
        <v>33</v>
      </c>
      <c r="Q14" s="1" t="s">
        <v>34</v>
      </c>
      <c r="R14" s="1" t="s">
        <v>35</v>
      </c>
      <c r="S14" s="1" t="s">
        <v>35</v>
      </c>
      <c r="T14" s="1" t="s">
        <v>37</v>
      </c>
      <c r="U14">
        <v>1870.7</v>
      </c>
      <c r="V14" s="1" t="s">
        <v>79</v>
      </c>
      <c r="W14" s="1" t="s">
        <v>35</v>
      </c>
      <c r="X14">
        <v>49014065</v>
      </c>
      <c r="Y14" s="1" t="s">
        <v>47</v>
      </c>
      <c r="Z14" s="1" t="s">
        <v>47</v>
      </c>
      <c r="AA14">
        <v>0</v>
      </c>
      <c r="AB14" s="1" t="s">
        <v>480</v>
      </c>
      <c r="AC14" s="1" t="s">
        <v>483</v>
      </c>
      <c r="AD14" s="1" t="str">
        <f>IF(AC14="no", "", IF(A14="Australia", "Low-Density Developed Outlier", IF(A14="Liechtenstein", "Ultra-Wealthy Microstate", IF(A14="Monaco", "Extreme Density Microstate", IF(A14="Singapore", "High-Density City-State", "Unclassified Outlier")))))</f>
        <v/>
      </c>
    </row>
    <row r="15" spans="1:30" x14ac:dyDescent="0.35">
      <c r="A15" s="1" t="s">
        <v>95</v>
      </c>
      <c r="B15" s="1" t="s">
        <v>96</v>
      </c>
      <c r="C15" s="1" t="s">
        <v>42</v>
      </c>
      <c r="D15" s="1" t="s">
        <v>30</v>
      </c>
      <c r="E15">
        <v>4.4400000000000004</v>
      </c>
      <c r="F15" s="1" t="s">
        <v>63</v>
      </c>
      <c r="G15" s="1" t="s">
        <v>32</v>
      </c>
      <c r="H15">
        <v>23.728899999999999</v>
      </c>
      <c r="I15">
        <v>90.394400000000005</v>
      </c>
      <c r="J15">
        <v>147570</v>
      </c>
      <c r="K15">
        <v>171186372</v>
      </c>
      <c r="L15">
        <v>302571254131</v>
      </c>
      <c r="M15">
        <v>0.71</v>
      </c>
      <c r="N15">
        <v>1767.5</v>
      </c>
      <c r="O15">
        <v>72.3</v>
      </c>
      <c r="P15" s="1" t="s">
        <v>33</v>
      </c>
      <c r="Q15" s="1" t="s">
        <v>34</v>
      </c>
      <c r="R15" s="1" t="s">
        <v>35</v>
      </c>
      <c r="S15" s="1" t="s">
        <v>36</v>
      </c>
      <c r="T15" s="1" t="s">
        <v>37</v>
      </c>
      <c r="U15">
        <v>1160</v>
      </c>
      <c r="V15" s="1" t="s">
        <v>38</v>
      </c>
      <c r="W15" s="1" t="s">
        <v>35</v>
      </c>
      <c r="X15">
        <v>2050357</v>
      </c>
      <c r="Y15" s="1" t="s">
        <v>53</v>
      </c>
      <c r="Z15" s="1" t="s">
        <v>80</v>
      </c>
      <c r="AA15">
        <v>3</v>
      </c>
      <c r="AB15" s="1" t="s">
        <v>478</v>
      </c>
      <c r="AC15" s="1" t="s">
        <v>483</v>
      </c>
      <c r="AD15" s="1" t="str">
        <f>IF(AC15="no", "", IF(A15="Australia", "Low-Density Developed Outlier", IF(A15="Liechtenstein", "Ultra-Wealthy Microstate", IF(A15="Monaco", "Extreme Density Microstate", IF(A15="Singapore", "High-Density City-State", "Unclassified Outlier")))))</f>
        <v/>
      </c>
    </row>
    <row r="16" spans="1:30" x14ac:dyDescent="0.35">
      <c r="A16" s="1" t="s">
        <v>97</v>
      </c>
      <c r="B16" s="1" t="s">
        <v>98</v>
      </c>
      <c r="C16" s="1" t="s">
        <v>42</v>
      </c>
      <c r="D16" s="1" t="s">
        <v>57</v>
      </c>
      <c r="E16">
        <v>6.9649999999999999</v>
      </c>
      <c r="F16" s="1" t="s">
        <v>43</v>
      </c>
      <c r="G16" s="1" t="s">
        <v>32</v>
      </c>
      <c r="H16">
        <v>13.0975</v>
      </c>
      <c r="I16">
        <v>-59.616700000000002</v>
      </c>
      <c r="J16">
        <v>439</v>
      </c>
      <c r="K16">
        <v>281635</v>
      </c>
      <c r="L16">
        <v>5209000000</v>
      </c>
      <c r="M16">
        <v>0.23</v>
      </c>
      <c r="N16">
        <v>18495.57</v>
      </c>
      <c r="O16">
        <v>79.099999999999994</v>
      </c>
      <c r="P16" s="1" t="s">
        <v>69</v>
      </c>
      <c r="Q16" s="1" t="s">
        <v>34</v>
      </c>
      <c r="R16" s="1" t="s">
        <v>36</v>
      </c>
      <c r="S16" s="1" t="s">
        <v>36</v>
      </c>
      <c r="T16" s="1" t="s">
        <v>70</v>
      </c>
      <c r="U16">
        <v>641.5</v>
      </c>
      <c r="V16" s="1" t="s">
        <v>71</v>
      </c>
      <c r="W16" s="1" t="s">
        <v>35</v>
      </c>
      <c r="X16">
        <v>11865604</v>
      </c>
      <c r="Y16" s="1" t="s">
        <v>47</v>
      </c>
      <c r="Z16" s="1" t="s">
        <v>47</v>
      </c>
      <c r="AA16">
        <v>0</v>
      </c>
      <c r="AB16" s="1" t="s">
        <v>480</v>
      </c>
      <c r="AC16" s="1" t="s">
        <v>483</v>
      </c>
      <c r="AD16" s="1" t="str">
        <f>IF(AC16="no", "", IF(A16="Australia", "Low-Density Developed Outlier", IF(A16="Liechtenstein", "Ultra-Wealthy Microstate", IF(A16="Monaco", "Extreme Density Microstate", IF(A16="Singapore", "High-Density City-State", "Unclassified Outlier")))))</f>
        <v/>
      </c>
    </row>
    <row r="17" spans="1:30" x14ac:dyDescent="0.35">
      <c r="A17" s="1" t="s">
        <v>99</v>
      </c>
      <c r="B17" s="1" t="s">
        <v>100</v>
      </c>
      <c r="C17" s="1" t="s">
        <v>50</v>
      </c>
      <c r="D17" s="1" t="s">
        <v>57</v>
      </c>
      <c r="E17">
        <v>1.99</v>
      </c>
      <c r="F17" s="1" t="s">
        <v>31</v>
      </c>
      <c r="G17" s="1" t="s">
        <v>32</v>
      </c>
      <c r="H17">
        <v>53.9</v>
      </c>
      <c r="I17">
        <v>27.57</v>
      </c>
      <c r="J17">
        <v>207595</v>
      </c>
      <c r="K17">
        <v>9208701</v>
      </c>
      <c r="L17">
        <v>63080457023</v>
      </c>
      <c r="M17">
        <v>0.42</v>
      </c>
      <c r="N17">
        <v>6850.09</v>
      </c>
      <c r="O17">
        <v>74.2</v>
      </c>
      <c r="P17" s="1" t="s">
        <v>33</v>
      </c>
      <c r="Q17" s="1" t="s">
        <v>34</v>
      </c>
      <c r="R17" s="1" t="s">
        <v>35</v>
      </c>
      <c r="S17" s="1" t="s">
        <v>36</v>
      </c>
      <c r="T17" s="1" t="s">
        <v>44</v>
      </c>
      <c r="U17">
        <v>44.4</v>
      </c>
      <c r="V17" s="1" t="s">
        <v>101</v>
      </c>
      <c r="W17" s="1" t="s">
        <v>36</v>
      </c>
      <c r="X17">
        <v>303863</v>
      </c>
      <c r="Y17" s="1" t="s">
        <v>46</v>
      </c>
      <c r="Z17" s="1" t="s">
        <v>80</v>
      </c>
      <c r="AA17">
        <v>3</v>
      </c>
      <c r="AB17" s="1" t="s">
        <v>478</v>
      </c>
      <c r="AC17" s="1" t="s">
        <v>483</v>
      </c>
      <c r="AD17" s="1" t="str">
        <f>IF(AC17="no", "", IF(A17="Australia", "Low-Density Developed Outlier", IF(A17="Liechtenstein", "Ultra-Wealthy Microstate", IF(A17="Monaco", "Extreme Density Microstate", IF(A17="Singapore", "High-Density City-State", "Unclassified Outlier")))))</f>
        <v/>
      </c>
    </row>
    <row r="18" spans="1:30" x14ac:dyDescent="0.35">
      <c r="A18" s="1" t="s">
        <v>102</v>
      </c>
      <c r="B18" s="1" t="s">
        <v>103</v>
      </c>
      <c r="C18" s="1" t="s">
        <v>83</v>
      </c>
      <c r="D18" s="1" t="s">
        <v>57</v>
      </c>
      <c r="E18">
        <v>7.64</v>
      </c>
      <c r="F18" s="1" t="s">
        <v>43</v>
      </c>
      <c r="G18" s="1" t="s">
        <v>59</v>
      </c>
      <c r="H18">
        <v>50.846699999999998</v>
      </c>
      <c r="I18">
        <v>4.3517000000000001</v>
      </c>
      <c r="J18">
        <v>30688</v>
      </c>
      <c r="K18">
        <v>11669446</v>
      </c>
      <c r="L18">
        <v>529606710418</v>
      </c>
      <c r="M18">
        <v>0.45</v>
      </c>
      <c r="N18">
        <v>45384.05</v>
      </c>
      <c r="O18">
        <v>81.599999999999994</v>
      </c>
      <c r="P18" s="1" t="s">
        <v>33</v>
      </c>
      <c r="Q18" s="1" t="s">
        <v>34</v>
      </c>
      <c r="R18" s="1" t="s">
        <v>35</v>
      </c>
      <c r="S18" s="1" t="s">
        <v>36</v>
      </c>
      <c r="T18" s="1" t="s">
        <v>44</v>
      </c>
      <c r="U18">
        <v>380.3</v>
      </c>
      <c r="V18" s="1" t="s">
        <v>60</v>
      </c>
      <c r="W18" s="1" t="s">
        <v>35</v>
      </c>
      <c r="X18">
        <v>17257779</v>
      </c>
      <c r="Y18" s="1" t="s">
        <v>47</v>
      </c>
      <c r="Z18" s="1" t="s">
        <v>47</v>
      </c>
      <c r="AA18">
        <v>2</v>
      </c>
      <c r="AB18" s="1" t="s">
        <v>479</v>
      </c>
      <c r="AC18" s="1" t="s">
        <v>483</v>
      </c>
      <c r="AD18" s="1" t="str">
        <f>IF(AC18="no", "", IF(A18="Australia", "Low-Density Developed Outlier", IF(A18="Liechtenstein", "Ultra-Wealthy Microstate", IF(A18="Monaco", "Extreme Density Microstate", IF(A18="Singapore", "High-Density City-State", "Unclassified Outlier")))))</f>
        <v/>
      </c>
    </row>
    <row r="19" spans="1:30" x14ac:dyDescent="0.35">
      <c r="A19" s="1" t="s">
        <v>104</v>
      </c>
      <c r="B19" s="1" t="s">
        <v>105</v>
      </c>
      <c r="C19" s="1" t="s">
        <v>68</v>
      </c>
      <c r="D19" s="1" t="s">
        <v>57</v>
      </c>
      <c r="E19">
        <v>5.32</v>
      </c>
      <c r="F19" s="1" t="s">
        <v>63</v>
      </c>
      <c r="G19" s="1" t="s">
        <v>32</v>
      </c>
      <c r="H19">
        <v>17.25</v>
      </c>
      <c r="I19">
        <v>-88.767499999999998</v>
      </c>
      <c r="J19">
        <v>22966</v>
      </c>
      <c r="K19">
        <v>405272</v>
      </c>
      <c r="L19">
        <v>1879613600</v>
      </c>
      <c r="M19">
        <v>7.0000000000000007E-2</v>
      </c>
      <c r="N19">
        <v>4637.91</v>
      </c>
      <c r="O19">
        <v>74.5</v>
      </c>
      <c r="P19" s="1" t="s">
        <v>69</v>
      </c>
      <c r="Q19" s="1" t="s">
        <v>34</v>
      </c>
      <c r="R19" s="1" t="s">
        <v>36</v>
      </c>
      <c r="S19" s="1" t="s">
        <v>35</v>
      </c>
      <c r="T19" s="1" t="s">
        <v>70</v>
      </c>
      <c r="U19">
        <v>17.600000000000001</v>
      </c>
      <c r="V19" s="1" t="s">
        <v>71</v>
      </c>
      <c r="W19" s="1" t="s">
        <v>35</v>
      </c>
      <c r="X19">
        <v>81843</v>
      </c>
      <c r="Y19" s="1" t="s">
        <v>46</v>
      </c>
      <c r="Z19" s="1" t="s">
        <v>80</v>
      </c>
      <c r="AA19">
        <v>0</v>
      </c>
      <c r="AB19" s="1" t="s">
        <v>480</v>
      </c>
      <c r="AC19" s="1" t="s">
        <v>483</v>
      </c>
      <c r="AD19" s="1" t="str">
        <f>IF(AC19="no", "", IF(A19="Australia", "Low-Density Developed Outlier", IF(A19="Liechtenstein", "Ultra-Wealthy Microstate", IF(A19="Monaco", "Extreme Density Microstate", IF(A19="Singapore", "High-Density City-State", "Unclassified Outlier")))))</f>
        <v/>
      </c>
    </row>
    <row r="20" spans="1:30" x14ac:dyDescent="0.35">
      <c r="A20" s="1" t="s">
        <v>106</v>
      </c>
      <c r="B20" s="1" t="s">
        <v>107</v>
      </c>
      <c r="C20" s="1" t="s">
        <v>50</v>
      </c>
      <c r="D20" s="1" t="s">
        <v>57</v>
      </c>
      <c r="E20">
        <v>4.4400000000000004</v>
      </c>
      <c r="F20" s="1" t="s">
        <v>63</v>
      </c>
      <c r="G20" s="1" t="s">
        <v>32</v>
      </c>
      <c r="H20">
        <v>6.4832999999999998</v>
      </c>
      <c r="I20">
        <v>2.6166999999999998</v>
      </c>
      <c r="J20">
        <v>114763</v>
      </c>
      <c r="K20">
        <v>13352864</v>
      </c>
      <c r="L20">
        <v>14390709095</v>
      </c>
      <c r="M20">
        <v>0.33</v>
      </c>
      <c r="N20">
        <v>1077.72</v>
      </c>
      <c r="O20">
        <v>61.5</v>
      </c>
      <c r="P20" s="1" t="s">
        <v>33</v>
      </c>
      <c r="Q20" s="1" t="s">
        <v>34</v>
      </c>
      <c r="R20" s="1" t="s">
        <v>36</v>
      </c>
      <c r="S20" s="1" t="s">
        <v>36</v>
      </c>
      <c r="T20" s="1" t="s">
        <v>51</v>
      </c>
      <c r="U20">
        <v>116.4</v>
      </c>
      <c r="V20" s="1" t="s">
        <v>65</v>
      </c>
      <c r="W20" s="1" t="s">
        <v>35</v>
      </c>
      <c r="X20">
        <v>125395</v>
      </c>
      <c r="Y20" s="1" t="s">
        <v>53</v>
      </c>
      <c r="Z20" s="1" t="s">
        <v>39</v>
      </c>
      <c r="AA20">
        <v>1</v>
      </c>
      <c r="AB20" s="1" t="s">
        <v>481</v>
      </c>
      <c r="AC20" s="1" t="s">
        <v>483</v>
      </c>
      <c r="AD20" s="1" t="str">
        <f>IF(AC20="no", "", IF(A20="Australia", "Low-Density Developed Outlier", IF(A20="Liechtenstein", "Ultra-Wealthy Microstate", IF(A20="Monaco", "Extreme Density Microstate", IF(A20="Singapore", "High-Density City-State", "Unclassified Outlier")))))</f>
        <v/>
      </c>
    </row>
    <row r="21" spans="1:30" x14ac:dyDescent="0.35">
      <c r="A21" s="1" t="s">
        <v>108</v>
      </c>
      <c r="B21" s="1" t="s">
        <v>109</v>
      </c>
      <c r="C21" s="1" t="s">
        <v>68</v>
      </c>
      <c r="D21" s="1" t="s">
        <v>110</v>
      </c>
      <c r="E21">
        <v>5.65</v>
      </c>
      <c r="F21" s="1" t="s">
        <v>63</v>
      </c>
      <c r="G21" s="1" t="s">
        <v>32</v>
      </c>
      <c r="H21">
        <v>27.471399999999999</v>
      </c>
      <c r="I21">
        <v>89.633700000000005</v>
      </c>
      <c r="J21">
        <v>38394</v>
      </c>
      <c r="K21">
        <v>782455</v>
      </c>
      <c r="L21">
        <v>2446674101</v>
      </c>
      <c r="M21">
        <v>0.14000000000000001</v>
      </c>
      <c r="N21">
        <v>3126.92</v>
      </c>
      <c r="O21">
        <v>71.5</v>
      </c>
      <c r="P21" s="1" t="s">
        <v>33</v>
      </c>
      <c r="Q21" s="1" t="s">
        <v>34</v>
      </c>
      <c r="R21" s="1" t="s">
        <v>35</v>
      </c>
      <c r="S21" s="1" t="s">
        <v>35</v>
      </c>
      <c r="T21" s="1" t="s">
        <v>37</v>
      </c>
      <c r="U21">
        <v>20.399999999999999</v>
      </c>
      <c r="V21" s="1" t="s">
        <v>38</v>
      </c>
      <c r="W21" s="1" t="s">
        <v>36</v>
      </c>
      <c r="X21">
        <v>63725</v>
      </c>
      <c r="Y21" s="1" t="s">
        <v>53</v>
      </c>
      <c r="Z21" s="1" t="s">
        <v>80</v>
      </c>
      <c r="AA21">
        <v>0</v>
      </c>
      <c r="AB21" s="1" t="s">
        <v>480</v>
      </c>
      <c r="AC21" s="1" t="s">
        <v>483</v>
      </c>
      <c r="AD21" s="1" t="str">
        <f>IF(AC21="no", "", IF(A21="Australia", "Low-Density Developed Outlier", IF(A21="Liechtenstein", "Ultra-Wealthy Microstate", IF(A21="Monaco", "Extreme Density Microstate", IF(A21="Singapore", "High-Density City-State", "Unclassified Outlier")))))</f>
        <v/>
      </c>
    </row>
    <row r="22" spans="1:30" x14ac:dyDescent="0.35">
      <c r="A22" s="1" t="s">
        <v>111</v>
      </c>
      <c r="B22" s="1" t="s">
        <v>112</v>
      </c>
      <c r="C22" s="1" t="s">
        <v>50</v>
      </c>
      <c r="D22" s="1" t="s">
        <v>57</v>
      </c>
      <c r="E22">
        <v>4.26</v>
      </c>
      <c r="F22" s="1" t="s">
        <v>63</v>
      </c>
      <c r="G22" s="1" t="s">
        <v>32</v>
      </c>
      <c r="H22">
        <v>-19.047499999999999</v>
      </c>
      <c r="I22">
        <v>-65.260000000000005</v>
      </c>
      <c r="J22">
        <v>1098581</v>
      </c>
      <c r="K22">
        <v>12224110</v>
      </c>
      <c r="L22">
        <v>40895322865</v>
      </c>
      <c r="M22">
        <v>0.35</v>
      </c>
      <c r="N22">
        <v>3345.46</v>
      </c>
      <c r="O22">
        <v>71.2</v>
      </c>
      <c r="P22" s="1" t="s">
        <v>69</v>
      </c>
      <c r="Q22" s="1" t="s">
        <v>64</v>
      </c>
      <c r="R22" s="1" t="s">
        <v>36</v>
      </c>
      <c r="S22" s="1" t="s">
        <v>36</v>
      </c>
      <c r="T22" s="1" t="s">
        <v>75</v>
      </c>
      <c r="U22">
        <v>11.1</v>
      </c>
      <c r="V22" s="1" t="s">
        <v>113</v>
      </c>
      <c r="W22" s="1" t="s">
        <v>36</v>
      </c>
      <c r="X22">
        <v>37226</v>
      </c>
      <c r="Y22" s="1" t="s">
        <v>53</v>
      </c>
      <c r="Z22" s="1" t="s">
        <v>80</v>
      </c>
      <c r="AA22">
        <v>0</v>
      </c>
      <c r="AB22" s="1" t="s">
        <v>480</v>
      </c>
      <c r="AC22" s="1" t="s">
        <v>483</v>
      </c>
      <c r="AD22" s="1" t="str">
        <f>IF(AC22="no", "", IF(A22="Australia", "Low-Density Developed Outlier", IF(A22="Liechtenstein", "Ultra-Wealthy Microstate", IF(A22="Monaco", "Extreme Density Microstate", IF(A22="Singapore", "High-Density City-State", "Unclassified Outlier")))))</f>
        <v/>
      </c>
    </row>
    <row r="23" spans="1:30" x14ac:dyDescent="0.35">
      <c r="A23" s="1" t="s">
        <v>114</v>
      </c>
      <c r="B23" s="1" t="s">
        <v>115</v>
      </c>
      <c r="C23" s="1" t="s">
        <v>42</v>
      </c>
      <c r="D23" s="1" t="s">
        <v>30</v>
      </c>
      <c r="E23">
        <v>5.0599999999999996</v>
      </c>
      <c r="F23" s="1" t="s">
        <v>63</v>
      </c>
      <c r="G23" s="1" t="s">
        <v>32</v>
      </c>
      <c r="H23">
        <v>43.856400000000001</v>
      </c>
      <c r="I23">
        <v>18.4131</v>
      </c>
      <c r="J23">
        <v>51197</v>
      </c>
      <c r="K23">
        <v>3233526</v>
      </c>
      <c r="L23">
        <v>20047848435</v>
      </c>
      <c r="M23">
        <v>0.43</v>
      </c>
      <c r="N23">
        <v>6200</v>
      </c>
      <c r="O23">
        <v>77.3</v>
      </c>
      <c r="P23" s="1" t="s">
        <v>33</v>
      </c>
      <c r="Q23" s="1" t="s">
        <v>34</v>
      </c>
      <c r="R23" s="1" t="s">
        <v>35</v>
      </c>
      <c r="S23" s="1" t="s">
        <v>36</v>
      </c>
      <c r="T23" s="1" t="s">
        <v>44</v>
      </c>
      <c r="U23">
        <v>63.2</v>
      </c>
      <c r="V23" s="1" t="s">
        <v>45</v>
      </c>
      <c r="W23" s="1" t="s">
        <v>35</v>
      </c>
      <c r="X23">
        <v>391582</v>
      </c>
      <c r="Y23" s="1" t="s">
        <v>46</v>
      </c>
      <c r="Z23" s="1" t="s">
        <v>47</v>
      </c>
      <c r="AA23">
        <v>3</v>
      </c>
      <c r="AB23" s="1" t="s">
        <v>478</v>
      </c>
      <c r="AC23" s="1" t="s">
        <v>483</v>
      </c>
      <c r="AD23" s="1" t="str">
        <f>IF(AC23="no", "", IF(A23="Australia", "Low-Density Developed Outlier", IF(A23="Liechtenstein", "Ultra-Wealthy Microstate", IF(A23="Monaco", "Extreme Density Microstate", IF(A23="Singapore", "High-Density City-State", "Unclassified Outlier")))))</f>
        <v/>
      </c>
    </row>
    <row r="24" spans="1:30" x14ac:dyDescent="0.35">
      <c r="A24" s="1" t="s">
        <v>116</v>
      </c>
      <c r="B24" s="1" t="s">
        <v>117</v>
      </c>
      <c r="C24" s="1" t="s">
        <v>42</v>
      </c>
      <c r="D24" s="1" t="s">
        <v>57</v>
      </c>
      <c r="E24">
        <v>7.63</v>
      </c>
      <c r="F24" s="1" t="s">
        <v>43</v>
      </c>
      <c r="G24" s="1" t="s">
        <v>32</v>
      </c>
      <c r="H24">
        <v>-24.65</v>
      </c>
      <c r="I24">
        <v>25.91</v>
      </c>
      <c r="J24">
        <v>581737</v>
      </c>
      <c r="K24">
        <v>2630296</v>
      </c>
      <c r="L24">
        <v>18340510789</v>
      </c>
      <c r="M24">
        <v>0.46</v>
      </c>
      <c r="N24">
        <v>6972.79</v>
      </c>
      <c r="O24">
        <v>69.3</v>
      </c>
      <c r="P24" s="1" t="s">
        <v>33</v>
      </c>
      <c r="Q24" s="1" t="s">
        <v>64</v>
      </c>
      <c r="R24" s="1" t="s">
        <v>35</v>
      </c>
      <c r="S24" s="1" t="s">
        <v>36</v>
      </c>
      <c r="T24" s="1" t="s">
        <v>51</v>
      </c>
      <c r="U24">
        <v>4.5</v>
      </c>
      <c r="V24" s="1" t="s">
        <v>118</v>
      </c>
      <c r="W24" s="1" t="s">
        <v>36</v>
      </c>
      <c r="X24">
        <v>31527</v>
      </c>
      <c r="Y24" s="1" t="s">
        <v>46</v>
      </c>
      <c r="Z24" s="1" t="s">
        <v>80</v>
      </c>
      <c r="AA24">
        <v>1</v>
      </c>
      <c r="AB24" s="1" t="s">
        <v>481</v>
      </c>
      <c r="AC24" s="1" t="s">
        <v>483</v>
      </c>
      <c r="AD24" s="1" t="str">
        <f>IF(AC24="no", "", IF(A24="Australia", "Low-Density Developed Outlier", IF(A24="Liechtenstein", "Ultra-Wealthy Microstate", IF(A24="Monaco", "Extreme Density Microstate", IF(A24="Singapore", "High-Density City-State", "Unclassified Outlier")))))</f>
        <v/>
      </c>
    </row>
    <row r="25" spans="1:30" x14ac:dyDescent="0.35">
      <c r="A25" s="1" t="s">
        <v>119</v>
      </c>
      <c r="B25" s="1" t="s">
        <v>120</v>
      </c>
      <c r="C25" s="1" t="s">
        <v>74</v>
      </c>
      <c r="D25" s="1" t="s">
        <v>57</v>
      </c>
      <c r="E25">
        <v>6.49</v>
      </c>
      <c r="F25" s="1" t="s">
        <v>43</v>
      </c>
      <c r="G25" s="1" t="s">
        <v>32</v>
      </c>
      <c r="H25">
        <v>-15.793900000000001</v>
      </c>
      <c r="I25">
        <v>-47.882800000000003</v>
      </c>
      <c r="J25">
        <v>8515767</v>
      </c>
      <c r="K25">
        <v>215313498</v>
      </c>
      <c r="L25">
        <v>1839758040766</v>
      </c>
      <c r="M25">
        <v>0.34</v>
      </c>
      <c r="N25">
        <v>8544.56</v>
      </c>
      <c r="O25">
        <v>75.7</v>
      </c>
      <c r="P25" s="1" t="s">
        <v>69</v>
      </c>
      <c r="Q25" s="1" t="s">
        <v>64</v>
      </c>
      <c r="R25" s="1" t="s">
        <v>36</v>
      </c>
      <c r="S25" s="1" t="s">
        <v>36</v>
      </c>
      <c r="T25" s="1" t="s">
        <v>75</v>
      </c>
      <c r="U25">
        <v>25.3</v>
      </c>
      <c r="V25" s="1" t="s">
        <v>113</v>
      </c>
      <c r="W25" s="1" t="s">
        <v>35</v>
      </c>
      <c r="X25">
        <v>216041</v>
      </c>
      <c r="Y25" s="1" t="s">
        <v>46</v>
      </c>
      <c r="Z25" s="1" t="s">
        <v>47</v>
      </c>
      <c r="AA25">
        <v>0</v>
      </c>
      <c r="AB25" s="1" t="s">
        <v>480</v>
      </c>
      <c r="AC25" s="1" t="s">
        <v>483</v>
      </c>
      <c r="AD25" s="1" t="str">
        <f>IF(AC25="no", "", IF(A25="Australia", "Low-Density Developed Outlier", IF(A25="Liechtenstein", "Ultra-Wealthy Microstate", IF(A25="Monaco", "Extreme Density Microstate", IF(A25="Singapore", "High-Density City-State", "Unclassified Outlier")))))</f>
        <v/>
      </c>
    </row>
    <row r="26" spans="1:30" x14ac:dyDescent="0.35">
      <c r="A26" s="1" t="s">
        <v>121</v>
      </c>
      <c r="B26" s="1" t="s">
        <v>122</v>
      </c>
      <c r="C26" s="1" t="s">
        <v>123</v>
      </c>
      <c r="D26" s="1" t="s">
        <v>30</v>
      </c>
      <c r="E26">
        <v>6.18</v>
      </c>
      <c r="F26" s="1" t="s">
        <v>43</v>
      </c>
      <c r="G26" s="1" t="s">
        <v>32</v>
      </c>
      <c r="H26">
        <v>4.9166999999999996</v>
      </c>
      <c r="I26">
        <v>114.91670000000001</v>
      </c>
      <c r="J26">
        <v>5765</v>
      </c>
      <c r="K26">
        <v>449002</v>
      </c>
      <c r="L26">
        <v>13469422941</v>
      </c>
      <c r="M26">
        <v>0.03</v>
      </c>
      <c r="N26">
        <v>29998.58</v>
      </c>
      <c r="O26">
        <v>75.7</v>
      </c>
      <c r="P26" s="1" t="s">
        <v>33</v>
      </c>
      <c r="Q26" s="1" t="s">
        <v>34</v>
      </c>
      <c r="R26" s="1" t="s">
        <v>36</v>
      </c>
      <c r="S26" s="1" t="s">
        <v>35</v>
      </c>
      <c r="T26" s="1" t="s">
        <v>37</v>
      </c>
      <c r="U26">
        <v>77.900000000000006</v>
      </c>
      <c r="V26" s="1" t="s">
        <v>124</v>
      </c>
      <c r="W26" s="1" t="s">
        <v>35</v>
      </c>
      <c r="X26">
        <v>2336413</v>
      </c>
      <c r="Y26" s="1" t="s">
        <v>47</v>
      </c>
      <c r="Z26" s="1" t="s">
        <v>47</v>
      </c>
      <c r="AA26">
        <v>0</v>
      </c>
      <c r="AB26" s="1" t="s">
        <v>480</v>
      </c>
      <c r="AC26" s="1" t="s">
        <v>483</v>
      </c>
      <c r="AD26" s="1" t="str">
        <f>IF(AC26="no", "", IF(A26="Australia", "Low-Density Developed Outlier", IF(A26="Liechtenstein", "Ultra-Wealthy Microstate", IF(A26="Monaco", "Extreme Density Microstate", IF(A26="Singapore", "High-Density City-State", "Unclassified Outlier")))))</f>
        <v/>
      </c>
    </row>
    <row r="27" spans="1:30" x14ac:dyDescent="0.35">
      <c r="A27" s="1" t="s">
        <v>125</v>
      </c>
      <c r="B27" s="1" t="s">
        <v>126</v>
      </c>
      <c r="C27" s="1" t="s">
        <v>42</v>
      </c>
      <c r="D27" s="1" t="s">
        <v>57</v>
      </c>
      <c r="E27">
        <v>6.34</v>
      </c>
      <c r="F27" s="1" t="s">
        <v>43</v>
      </c>
      <c r="G27" s="1" t="s">
        <v>32</v>
      </c>
      <c r="H27">
        <v>42.697899999999997</v>
      </c>
      <c r="I27">
        <v>23.3217</v>
      </c>
      <c r="J27">
        <v>110994</v>
      </c>
      <c r="K27">
        <v>6465097</v>
      </c>
      <c r="L27">
        <v>86000000000</v>
      </c>
      <c r="M27">
        <v>0.46</v>
      </c>
      <c r="N27">
        <v>13302.2</v>
      </c>
      <c r="O27">
        <v>74.900000000000006</v>
      </c>
      <c r="P27" s="1" t="s">
        <v>33</v>
      </c>
      <c r="Q27" s="1" t="s">
        <v>34</v>
      </c>
      <c r="R27" s="1" t="s">
        <v>35</v>
      </c>
      <c r="S27" s="1" t="s">
        <v>36</v>
      </c>
      <c r="T27" s="1" t="s">
        <v>44</v>
      </c>
      <c r="U27">
        <v>58.2</v>
      </c>
      <c r="V27" s="1" t="s">
        <v>101</v>
      </c>
      <c r="W27" s="1" t="s">
        <v>35</v>
      </c>
      <c r="X27">
        <v>774817</v>
      </c>
      <c r="Y27" s="1" t="s">
        <v>47</v>
      </c>
      <c r="Z27" s="1" t="s">
        <v>80</v>
      </c>
      <c r="AA27">
        <v>3</v>
      </c>
      <c r="AB27" s="1" t="s">
        <v>478</v>
      </c>
      <c r="AC27" s="1" t="s">
        <v>483</v>
      </c>
      <c r="AD27" s="1" t="str">
        <f>IF(AC27="no", "", IF(A27="Australia", "Low-Density Developed Outlier", IF(A27="Liechtenstein", "Ultra-Wealthy Microstate", IF(A27="Monaco", "Extreme Density Microstate", IF(A27="Singapore", "High-Density City-State", "Unclassified Outlier")))))</f>
        <v/>
      </c>
    </row>
    <row r="28" spans="1:30" x14ac:dyDescent="0.35">
      <c r="A28" s="1" t="s">
        <v>127</v>
      </c>
      <c r="B28" s="1" t="s">
        <v>128</v>
      </c>
      <c r="C28" s="1" t="s">
        <v>129</v>
      </c>
      <c r="D28" s="1" t="s">
        <v>30</v>
      </c>
      <c r="E28">
        <v>2.5499999999999998</v>
      </c>
      <c r="F28" s="1" t="s">
        <v>31</v>
      </c>
      <c r="G28" s="1" t="s">
        <v>32</v>
      </c>
      <c r="H28">
        <v>12.368600000000001</v>
      </c>
      <c r="I28">
        <v>-1.5275000000000001</v>
      </c>
      <c r="J28">
        <v>274200</v>
      </c>
      <c r="K28">
        <v>22673762</v>
      </c>
      <c r="L28">
        <v>15745810235</v>
      </c>
      <c r="M28">
        <v>0.44</v>
      </c>
      <c r="N28">
        <v>694.45</v>
      </c>
      <c r="O28">
        <v>61.2</v>
      </c>
      <c r="P28" s="1" t="s">
        <v>69</v>
      </c>
      <c r="Q28" s="1" t="s">
        <v>34</v>
      </c>
      <c r="R28" s="1" t="s">
        <v>36</v>
      </c>
      <c r="S28" s="1" t="s">
        <v>36</v>
      </c>
      <c r="T28" s="1" t="s">
        <v>51</v>
      </c>
      <c r="U28">
        <v>82.7</v>
      </c>
      <c r="V28" s="1" t="s">
        <v>130</v>
      </c>
      <c r="W28" s="1" t="s">
        <v>36</v>
      </c>
      <c r="X28">
        <v>57425</v>
      </c>
      <c r="Y28" s="1" t="s">
        <v>39</v>
      </c>
      <c r="Z28" s="1" t="s">
        <v>39</v>
      </c>
      <c r="AA28">
        <v>1</v>
      </c>
      <c r="AB28" s="1" t="s">
        <v>481</v>
      </c>
      <c r="AC28" s="1" t="s">
        <v>483</v>
      </c>
      <c r="AD28" s="1" t="str">
        <f>IF(AC28="no", "", IF(A28="Australia", "Low-Density Developed Outlier", IF(A28="Liechtenstein", "Ultra-Wealthy Microstate", IF(A28="Monaco", "Extreme Density Microstate", IF(A28="Singapore", "High-Density City-State", "Unclassified Outlier")))))</f>
        <v/>
      </c>
    </row>
    <row r="29" spans="1:30" x14ac:dyDescent="0.35">
      <c r="A29" s="1" t="s">
        <v>131</v>
      </c>
      <c r="B29" s="1" t="s">
        <v>132</v>
      </c>
      <c r="C29" s="1" t="s">
        <v>50</v>
      </c>
      <c r="D29" s="1" t="s">
        <v>57</v>
      </c>
      <c r="E29">
        <v>2.13</v>
      </c>
      <c r="F29" s="1" t="s">
        <v>31</v>
      </c>
      <c r="G29" s="1" t="s">
        <v>32</v>
      </c>
      <c r="H29">
        <v>-3.4283000000000001</v>
      </c>
      <c r="I29">
        <v>29.925000000000001</v>
      </c>
      <c r="J29">
        <v>27834</v>
      </c>
      <c r="K29">
        <v>12889576</v>
      </c>
      <c r="L29">
        <v>3012334882</v>
      </c>
      <c r="M29">
        <v>0.79</v>
      </c>
      <c r="N29">
        <v>233.7</v>
      </c>
      <c r="O29">
        <v>61.2</v>
      </c>
      <c r="P29" s="1" t="s">
        <v>33</v>
      </c>
      <c r="Q29" s="1" t="s">
        <v>64</v>
      </c>
      <c r="R29" s="1" t="s">
        <v>36</v>
      </c>
      <c r="S29" s="1" t="s">
        <v>36</v>
      </c>
      <c r="T29" s="1" t="s">
        <v>51</v>
      </c>
      <c r="U29">
        <v>463.1</v>
      </c>
      <c r="V29" s="1" t="s">
        <v>65</v>
      </c>
      <c r="W29" s="1" t="s">
        <v>36</v>
      </c>
      <c r="X29">
        <v>108225</v>
      </c>
      <c r="Y29" s="1" t="s">
        <v>39</v>
      </c>
      <c r="Z29" s="1" t="s">
        <v>39</v>
      </c>
      <c r="AA29">
        <v>1</v>
      </c>
      <c r="AB29" s="1" t="s">
        <v>481</v>
      </c>
      <c r="AC29" s="1" t="s">
        <v>483</v>
      </c>
      <c r="AD29" s="1" t="str">
        <f>IF(AC29="no", "", IF(A29="Australia", "Low-Density Developed Outlier", IF(A29="Liechtenstein", "Ultra-Wealthy Microstate", IF(A29="Monaco", "Extreme Density Microstate", IF(A29="Singapore", "High-Density City-State", "Unclassified Outlier")))))</f>
        <v/>
      </c>
    </row>
    <row r="30" spans="1:30" x14ac:dyDescent="0.35">
      <c r="A30" s="1" t="s">
        <v>133</v>
      </c>
      <c r="B30" s="1" t="s">
        <v>134</v>
      </c>
      <c r="C30" s="1" t="s">
        <v>135</v>
      </c>
      <c r="D30" s="1" t="s">
        <v>57</v>
      </c>
      <c r="E30">
        <v>7.58</v>
      </c>
      <c r="F30" s="1" t="s">
        <v>43</v>
      </c>
      <c r="G30" s="1" t="s">
        <v>32</v>
      </c>
      <c r="H30">
        <v>14.9177</v>
      </c>
      <c r="I30">
        <v>-23.5092</v>
      </c>
      <c r="J30">
        <v>4033</v>
      </c>
      <c r="K30">
        <v>593149</v>
      </c>
      <c r="L30">
        <v>1981845741</v>
      </c>
      <c r="M30">
        <v>0.2</v>
      </c>
      <c r="N30">
        <v>3341.23</v>
      </c>
      <c r="O30">
        <v>72.8</v>
      </c>
      <c r="P30" s="1" t="s">
        <v>69</v>
      </c>
      <c r="Q30" s="1" t="s">
        <v>34</v>
      </c>
      <c r="R30" s="1" t="s">
        <v>36</v>
      </c>
      <c r="S30" s="1" t="s">
        <v>35</v>
      </c>
      <c r="T30" s="1" t="s">
        <v>51</v>
      </c>
      <c r="U30">
        <v>147.1</v>
      </c>
      <c r="V30" s="1" t="s">
        <v>130</v>
      </c>
      <c r="W30" s="1" t="s">
        <v>35</v>
      </c>
      <c r="X30">
        <v>491407</v>
      </c>
      <c r="Y30" s="1" t="s">
        <v>53</v>
      </c>
      <c r="Z30" s="1" t="s">
        <v>80</v>
      </c>
      <c r="AA30">
        <v>0</v>
      </c>
      <c r="AB30" s="1" t="s">
        <v>480</v>
      </c>
      <c r="AC30" s="1" t="s">
        <v>483</v>
      </c>
      <c r="AD30" s="1" t="str">
        <f>IF(AC30="no", "", IF(A30="Australia", "Low-Density Developed Outlier", IF(A30="Liechtenstein", "Ultra-Wealthy Microstate", IF(A30="Monaco", "Extreme Density Microstate", IF(A30="Singapore", "High-Density City-State", "Unclassified Outlier")))))</f>
        <v/>
      </c>
    </row>
    <row r="31" spans="1:30" x14ac:dyDescent="0.35">
      <c r="A31" s="1" t="s">
        <v>136</v>
      </c>
      <c r="B31" s="1" t="s">
        <v>137</v>
      </c>
      <c r="C31" s="1" t="s">
        <v>68</v>
      </c>
      <c r="D31" s="1" t="s">
        <v>110</v>
      </c>
      <c r="E31">
        <v>2.94</v>
      </c>
      <c r="F31" s="1" t="s">
        <v>31</v>
      </c>
      <c r="G31" s="1" t="s">
        <v>32</v>
      </c>
      <c r="H31">
        <v>11.55</v>
      </c>
      <c r="I31">
        <v>104.92</v>
      </c>
      <c r="J31">
        <v>181035</v>
      </c>
      <c r="K31">
        <v>16767842</v>
      </c>
      <c r="L31">
        <v>27089389787</v>
      </c>
      <c r="M31">
        <v>0.31</v>
      </c>
      <c r="N31">
        <v>1615.56</v>
      </c>
      <c r="O31">
        <v>69.599999999999994</v>
      </c>
      <c r="P31" s="1" t="s">
        <v>33</v>
      </c>
      <c r="Q31" s="1" t="s">
        <v>34</v>
      </c>
      <c r="R31" s="1" t="s">
        <v>36</v>
      </c>
      <c r="S31" s="1" t="s">
        <v>36</v>
      </c>
      <c r="T31" s="1" t="s">
        <v>37</v>
      </c>
      <c r="U31">
        <v>92.6</v>
      </c>
      <c r="V31" s="1" t="s">
        <v>124</v>
      </c>
      <c r="W31" s="1" t="s">
        <v>35</v>
      </c>
      <c r="X31">
        <v>149636</v>
      </c>
      <c r="Y31" s="1" t="s">
        <v>53</v>
      </c>
      <c r="Z31" s="1" t="s">
        <v>80</v>
      </c>
      <c r="AA31">
        <v>0</v>
      </c>
      <c r="AB31" s="1" t="s">
        <v>480</v>
      </c>
      <c r="AC31" s="1" t="s">
        <v>483</v>
      </c>
      <c r="AD31" s="1" t="str">
        <f>IF(AC31="no", "", IF(A31="Australia", "Low-Density Developed Outlier", IF(A31="Liechtenstein", "Ultra-Wealthy Microstate", IF(A31="Monaco", "Extreme Density Microstate", IF(A31="Singapore", "High-Density City-State", "Unclassified Outlier")))))</f>
        <v/>
      </c>
    </row>
    <row r="32" spans="1:30" x14ac:dyDescent="0.35">
      <c r="A32" s="1" t="s">
        <v>138</v>
      </c>
      <c r="B32" s="1" t="s">
        <v>139</v>
      </c>
      <c r="C32" s="1" t="s">
        <v>50</v>
      </c>
      <c r="D32" s="1" t="s">
        <v>57</v>
      </c>
      <c r="E32">
        <v>2.56</v>
      </c>
      <c r="F32" s="1" t="s">
        <v>31</v>
      </c>
      <c r="G32" s="1" t="s">
        <v>32</v>
      </c>
      <c r="H32">
        <v>3.8578000000000001</v>
      </c>
      <c r="I32">
        <v>11.5181</v>
      </c>
      <c r="J32">
        <v>475442</v>
      </c>
      <c r="K32">
        <v>27914536</v>
      </c>
      <c r="L32">
        <v>38760467033</v>
      </c>
      <c r="M32">
        <v>0.21</v>
      </c>
      <c r="N32">
        <v>1388.54</v>
      </c>
      <c r="O32">
        <v>58.9</v>
      </c>
      <c r="P32" s="1" t="s">
        <v>33</v>
      </c>
      <c r="Q32" s="1" t="s">
        <v>34</v>
      </c>
      <c r="R32" s="1" t="s">
        <v>36</v>
      </c>
      <c r="S32" s="1" t="s">
        <v>36</v>
      </c>
      <c r="T32" s="1" t="s">
        <v>51</v>
      </c>
      <c r="U32">
        <v>58.7</v>
      </c>
      <c r="V32" s="1" t="s">
        <v>65</v>
      </c>
      <c r="W32" s="1" t="s">
        <v>35</v>
      </c>
      <c r="X32">
        <v>81525</v>
      </c>
      <c r="Y32" s="1" t="s">
        <v>53</v>
      </c>
      <c r="Z32" s="1" t="s">
        <v>39</v>
      </c>
      <c r="AA32">
        <v>1</v>
      </c>
      <c r="AB32" s="1" t="s">
        <v>481</v>
      </c>
      <c r="AC32" s="1" t="s">
        <v>483</v>
      </c>
      <c r="AD32" s="1" t="str">
        <f>IF(AC32="no", "", IF(A32="Australia", "Low-Density Developed Outlier", IF(A32="Liechtenstein", "Ultra-Wealthy Microstate", IF(A32="Monaco", "Extreme Density Microstate", IF(A32="Singapore", "High-Density City-State", "Unclassified Outlier")))))</f>
        <v/>
      </c>
    </row>
    <row r="33" spans="1:30" x14ac:dyDescent="0.35">
      <c r="A33" s="1" t="s">
        <v>140</v>
      </c>
      <c r="B33" s="1" t="s">
        <v>141</v>
      </c>
      <c r="C33" s="1" t="s">
        <v>83</v>
      </c>
      <c r="D33" s="1" t="s">
        <v>57</v>
      </c>
      <c r="E33">
        <v>8.69</v>
      </c>
      <c r="F33" s="1" t="s">
        <v>58</v>
      </c>
      <c r="G33" s="1" t="s">
        <v>59</v>
      </c>
      <c r="H33">
        <v>45.424700000000001</v>
      </c>
      <c r="I33">
        <v>-75.694999999999993</v>
      </c>
      <c r="J33">
        <v>9984670</v>
      </c>
      <c r="K33">
        <v>38929902</v>
      </c>
      <c r="L33">
        <v>1736425629520</v>
      </c>
      <c r="M33">
        <v>7.0000000000000007E-2</v>
      </c>
      <c r="N33">
        <v>44603.9</v>
      </c>
      <c r="O33">
        <v>81.900000000000006</v>
      </c>
      <c r="P33" s="1" t="s">
        <v>69</v>
      </c>
      <c r="Q33" s="1" t="s">
        <v>34</v>
      </c>
      <c r="R33" s="1" t="s">
        <v>35</v>
      </c>
      <c r="S33" s="1" t="s">
        <v>35</v>
      </c>
      <c r="T33" s="1" t="s">
        <v>70</v>
      </c>
      <c r="U33">
        <v>3.9</v>
      </c>
      <c r="V33" s="1" t="s">
        <v>70</v>
      </c>
      <c r="W33" s="1" t="s">
        <v>35</v>
      </c>
      <c r="X33">
        <v>173909</v>
      </c>
      <c r="Y33" s="1" t="s">
        <v>47</v>
      </c>
      <c r="Z33" s="1" t="s">
        <v>47</v>
      </c>
      <c r="AA33">
        <v>2</v>
      </c>
      <c r="AB33" s="1" t="s">
        <v>479</v>
      </c>
      <c r="AC33" s="1" t="s">
        <v>483</v>
      </c>
      <c r="AD33" s="1" t="str">
        <f>IF(AC33="no", "", IF(A33="Australia", "Low-Density Developed Outlier", IF(A33="Liechtenstein", "Ultra-Wealthy Microstate", IF(A33="Monaco", "Extreme Density Microstate", IF(A33="Singapore", "High-Density City-State", "Unclassified Outlier")))))</f>
        <v/>
      </c>
    </row>
    <row r="34" spans="1:30" x14ac:dyDescent="0.35">
      <c r="A34" s="1" t="s">
        <v>142</v>
      </c>
      <c r="B34" s="1" t="s">
        <v>143</v>
      </c>
      <c r="C34" s="1" t="s">
        <v>50</v>
      </c>
      <c r="D34" s="1" t="s">
        <v>57</v>
      </c>
      <c r="E34">
        <v>1.18</v>
      </c>
      <c r="F34" s="1" t="s">
        <v>31</v>
      </c>
      <c r="G34" s="1" t="s">
        <v>32</v>
      </c>
      <c r="H34">
        <v>4.3600000000000003</v>
      </c>
      <c r="I34">
        <v>18.559999999999999</v>
      </c>
      <c r="J34">
        <v>622984</v>
      </c>
      <c r="K34">
        <v>5579144</v>
      </c>
      <c r="L34">
        <v>2220307369</v>
      </c>
      <c r="M34">
        <v>0.08</v>
      </c>
      <c r="N34">
        <v>397.97</v>
      </c>
      <c r="O34">
        <v>52.8</v>
      </c>
      <c r="P34" s="1" t="s">
        <v>33</v>
      </c>
      <c r="Q34" s="1" t="s">
        <v>34</v>
      </c>
      <c r="R34" s="1" t="s">
        <v>36</v>
      </c>
      <c r="S34" s="1" t="s">
        <v>35</v>
      </c>
      <c r="T34" s="1" t="s">
        <v>51</v>
      </c>
      <c r="U34">
        <v>9</v>
      </c>
      <c r="V34" s="1" t="s">
        <v>65</v>
      </c>
      <c r="W34" s="1" t="s">
        <v>36</v>
      </c>
      <c r="X34">
        <v>3564</v>
      </c>
      <c r="Y34" s="1" t="s">
        <v>39</v>
      </c>
      <c r="Z34" s="1" t="s">
        <v>39</v>
      </c>
      <c r="AA34">
        <v>1</v>
      </c>
      <c r="AB34" s="1" t="s">
        <v>481</v>
      </c>
      <c r="AC34" s="1" t="s">
        <v>483</v>
      </c>
      <c r="AD34" s="1" t="str">
        <f>IF(AC34="no", "", IF(A34="Australia", "Low-Density Developed Outlier", IF(A34="Liechtenstein", "Ultra-Wealthy Microstate", IF(A34="Monaco", "Extreme Density Microstate", IF(A34="Singapore", "High-Density City-State", "Unclassified Outlier")))))</f>
        <v/>
      </c>
    </row>
    <row r="35" spans="1:30" x14ac:dyDescent="0.35">
      <c r="A35" s="1" t="s">
        <v>144</v>
      </c>
      <c r="B35" s="1" t="s">
        <v>145</v>
      </c>
      <c r="C35" s="1" t="s">
        <v>129</v>
      </c>
      <c r="D35" s="1" t="s">
        <v>30</v>
      </c>
      <c r="E35">
        <v>1.89</v>
      </c>
      <c r="F35" s="1" t="s">
        <v>31</v>
      </c>
      <c r="G35" s="1" t="s">
        <v>32</v>
      </c>
      <c r="H35">
        <v>12.11</v>
      </c>
      <c r="I35">
        <v>15.04</v>
      </c>
      <c r="J35">
        <v>1284000</v>
      </c>
      <c r="K35">
        <v>17723315</v>
      </c>
      <c r="L35">
        <v>11314951343</v>
      </c>
      <c r="M35">
        <v>0.4</v>
      </c>
      <c r="N35">
        <v>638.41999999999996</v>
      </c>
      <c r="O35">
        <v>54</v>
      </c>
      <c r="P35" s="1" t="s">
        <v>33</v>
      </c>
      <c r="Q35" s="1" t="s">
        <v>34</v>
      </c>
      <c r="R35" s="1" t="s">
        <v>36</v>
      </c>
      <c r="S35" s="1" t="s">
        <v>36</v>
      </c>
      <c r="T35" s="1" t="s">
        <v>51</v>
      </c>
      <c r="U35">
        <v>13.8</v>
      </c>
      <c r="V35" s="1" t="s">
        <v>65</v>
      </c>
      <c r="W35" s="1" t="s">
        <v>36</v>
      </c>
      <c r="X35">
        <v>8812</v>
      </c>
      <c r="Y35" s="1" t="s">
        <v>39</v>
      </c>
      <c r="Z35" s="1" t="s">
        <v>39</v>
      </c>
      <c r="AA35">
        <v>1</v>
      </c>
      <c r="AB35" s="1" t="s">
        <v>481</v>
      </c>
      <c r="AC35" s="1" t="s">
        <v>483</v>
      </c>
      <c r="AD35" s="1" t="str">
        <f>IF(AC35="no", "", IF(A35="Australia", "Low-Density Developed Outlier", IF(A35="Liechtenstein", "Ultra-Wealthy Microstate", IF(A35="Monaco", "Extreme Density Microstate", IF(A35="Singapore", "High-Density City-State", "Unclassified Outlier")))))</f>
        <v/>
      </c>
    </row>
    <row r="36" spans="1:30" x14ac:dyDescent="0.35">
      <c r="A36" s="1" t="s">
        <v>146</v>
      </c>
      <c r="B36" s="1" t="s">
        <v>147</v>
      </c>
      <c r="C36" s="1" t="s">
        <v>50</v>
      </c>
      <c r="D36" s="1" t="s">
        <v>57</v>
      </c>
      <c r="E36">
        <v>7.83</v>
      </c>
      <c r="F36" s="1" t="s">
        <v>43</v>
      </c>
      <c r="G36" s="1" t="s">
        <v>32</v>
      </c>
      <c r="H36">
        <v>-33.4375</v>
      </c>
      <c r="I36">
        <v>-70.650000000000006</v>
      </c>
      <c r="J36">
        <v>756102</v>
      </c>
      <c r="K36">
        <v>19603733</v>
      </c>
      <c r="L36">
        <v>282318159745</v>
      </c>
      <c r="M36">
        <v>0.21</v>
      </c>
      <c r="N36">
        <v>14401.24</v>
      </c>
      <c r="O36">
        <v>80</v>
      </c>
      <c r="P36" s="1" t="s">
        <v>69</v>
      </c>
      <c r="Q36" s="1" t="s">
        <v>64</v>
      </c>
      <c r="R36" s="1" t="s">
        <v>35</v>
      </c>
      <c r="S36" s="1" t="s">
        <v>36</v>
      </c>
      <c r="T36" s="1" t="s">
        <v>75</v>
      </c>
      <c r="U36">
        <v>25.9</v>
      </c>
      <c r="V36" s="1" t="s">
        <v>76</v>
      </c>
      <c r="W36" s="1" t="s">
        <v>35</v>
      </c>
      <c r="X36">
        <v>373386</v>
      </c>
      <c r="Y36" s="1" t="s">
        <v>47</v>
      </c>
      <c r="Z36" s="1" t="s">
        <v>47</v>
      </c>
      <c r="AA36">
        <v>0</v>
      </c>
      <c r="AB36" s="1" t="s">
        <v>480</v>
      </c>
      <c r="AC36" s="1" t="s">
        <v>483</v>
      </c>
      <c r="AD36" s="1" t="str">
        <f>IF(AC36="no", "", IF(A36="Australia", "Low-Density Developed Outlier", IF(A36="Liechtenstein", "Ultra-Wealthy Microstate", IF(A36="Monaco", "Extreme Density Microstate", IF(A36="Singapore", "High-Density City-State", "Unclassified Outlier")))))</f>
        <v/>
      </c>
    </row>
    <row r="37" spans="1:30" x14ac:dyDescent="0.35">
      <c r="A37" s="1" t="s">
        <v>148</v>
      </c>
      <c r="B37" s="1" t="s">
        <v>149</v>
      </c>
      <c r="C37" s="1" t="s">
        <v>150</v>
      </c>
      <c r="D37" s="1" t="s">
        <v>151</v>
      </c>
      <c r="E37">
        <v>2.11</v>
      </c>
      <c r="F37" s="1" t="s">
        <v>31</v>
      </c>
      <c r="G37" s="1" t="s">
        <v>32</v>
      </c>
      <c r="H37">
        <v>39.9</v>
      </c>
      <c r="I37">
        <v>116.4</v>
      </c>
      <c r="J37">
        <v>9596961</v>
      </c>
      <c r="K37">
        <v>1412175000</v>
      </c>
      <c r="L37">
        <v>19910000000000</v>
      </c>
      <c r="M37">
        <v>0.56000000000000005</v>
      </c>
      <c r="N37">
        <v>14098.82</v>
      </c>
      <c r="O37">
        <v>77</v>
      </c>
      <c r="P37" s="1" t="s">
        <v>33</v>
      </c>
      <c r="Q37" s="1" t="s">
        <v>34</v>
      </c>
      <c r="R37" s="1" t="s">
        <v>35</v>
      </c>
      <c r="S37" s="1" t="s">
        <v>36</v>
      </c>
      <c r="T37" s="1" t="s">
        <v>37</v>
      </c>
      <c r="U37">
        <v>147.1</v>
      </c>
      <c r="V37" s="1" t="s">
        <v>152</v>
      </c>
      <c r="W37" s="1" t="s">
        <v>35</v>
      </c>
      <c r="X37">
        <v>2074615</v>
      </c>
      <c r="Y37" s="1" t="s">
        <v>47</v>
      </c>
      <c r="Z37" s="1" t="s">
        <v>47</v>
      </c>
      <c r="AA37">
        <v>3</v>
      </c>
      <c r="AB37" s="1" t="s">
        <v>478</v>
      </c>
      <c r="AC37" s="1" t="s">
        <v>483</v>
      </c>
      <c r="AD37" s="1" t="str">
        <f>IF(AC37="no", "", IF(A37="Australia", "Low-Density Developed Outlier", IF(A37="Liechtenstein", "Ultra-Wealthy Microstate", IF(A37="Monaco", "Extreme Density Microstate", IF(A37="Singapore", "High-Density City-State", "Unclassified Outlier")))))</f>
        <v/>
      </c>
    </row>
    <row r="38" spans="1:30" x14ac:dyDescent="0.35">
      <c r="A38" s="1" t="s">
        <v>153</v>
      </c>
      <c r="B38" s="1" t="s">
        <v>154</v>
      </c>
      <c r="C38" s="1" t="s">
        <v>50</v>
      </c>
      <c r="D38" s="1" t="s">
        <v>57</v>
      </c>
      <c r="E38">
        <v>6.35</v>
      </c>
      <c r="F38" s="1" t="s">
        <v>43</v>
      </c>
      <c r="G38" s="1" t="s">
        <v>32</v>
      </c>
      <c r="H38">
        <v>4.71</v>
      </c>
      <c r="I38">
        <v>-74.069999999999993</v>
      </c>
      <c r="J38">
        <v>1141748</v>
      </c>
      <c r="K38">
        <v>51874024</v>
      </c>
      <c r="L38">
        <v>323802808108</v>
      </c>
      <c r="M38">
        <v>0.4</v>
      </c>
      <c r="N38">
        <v>6242.1</v>
      </c>
      <c r="O38">
        <v>77.099999999999994</v>
      </c>
      <c r="P38" s="1" t="s">
        <v>69</v>
      </c>
      <c r="Q38" s="1" t="s">
        <v>34</v>
      </c>
      <c r="R38" s="1" t="s">
        <v>36</v>
      </c>
      <c r="S38" s="1" t="s">
        <v>36</v>
      </c>
      <c r="T38" s="1" t="s">
        <v>75</v>
      </c>
      <c r="U38">
        <v>45.4</v>
      </c>
      <c r="V38" s="1" t="s">
        <v>155</v>
      </c>
      <c r="W38" s="1" t="s">
        <v>35</v>
      </c>
      <c r="X38">
        <v>283603</v>
      </c>
      <c r="Y38" s="1" t="s">
        <v>46</v>
      </c>
      <c r="Z38" s="1" t="s">
        <v>47</v>
      </c>
      <c r="AA38">
        <v>0</v>
      </c>
      <c r="AB38" s="1" t="s">
        <v>480</v>
      </c>
      <c r="AC38" s="1" t="s">
        <v>483</v>
      </c>
      <c r="AD38" s="1" t="str">
        <f>IF(AC38="no", "", IF(A38="Australia", "Low-Density Developed Outlier", IF(A38="Liechtenstein", "Ultra-Wealthy Microstate", IF(A38="Monaco", "Extreme Density Microstate", IF(A38="Singapore", "High-Density City-State", "Unclassified Outlier")))))</f>
        <v/>
      </c>
    </row>
    <row r="39" spans="1:30" x14ac:dyDescent="0.35">
      <c r="A39" s="1" t="s">
        <v>156</v>
      </c>
      <c r="B39" s="1" t="s">
        <v>157</v>
      </c>
      <c r="C39" s="1" t="s">
        <v>50</v>
      </c>
      <c r="D39" s="1" t="s">
        <v>30</v>
      </c>
      <c r="E39">
        <v>2.84</v>
      </c>
      <c r="F39" s="1" t="s">
        <v>31</v>
      </c>
      <c r="G39" s="1" t="s">
        <v>32</v>
      </c>
      <c r="H39">
        <v>-11.7036</v>
      </c>
      <c r="I39">
        <v>43.253599999999999</v>
      </c>
      <c r="J39">
        <v>2034</v>
      </c>
      <c r="K39">
        <v>836774</v>
      </c>
      <c r="L39">
        <v>1185728677</v>
      </c>
      <c r="M39">
        <v>0.72</v>
      </c>
      <c r="N39">
        <v>1417.02</v>
      </c>
      <c r="O39">
        <v>64.099999999999994</v>
      </c>
      <c r="P39" s="1" t="s">
        <v>33</v>
      </c>
      <c r="Q39" s="1" t="s">
        <v>64</v>
      </c>
      <c r="R39" s="1" t="s">
        <v>36</v>
      </c>
      <c r="S39" s="1" t="s">
        <v>36</v>
      </c>
      <c r="T39" s="1" t="s">
        <v>51</v>
      </c>
      <c r="U39">
        <v>411.4</v>
      </c>
      <c r="V39" s="1" t="s">
        <v>118</v>
      </c>
      <c r="W39" s="1" t="s">
        <v>35</v>
      </c>
      <c r="X39">
        <v>582954</v>
      </c>
      <c r="Y39" s="1" t="s">
        <v>53</v>
      </c>
      <c r="Z39" s="1" t="s">
        <v>39</v>
      </c>
      <c r="AA39">
        <v>1</v>
      </c>
      <c r="AB39" s="1" t="s">
        <v>481</v>
      </c>
      <c r="AC39" s="1" t="s">
        <v>483</v>
      </c>
      <c r="AD39" s="1" t="str">
        <f>IF(AC39="no", "", IF(A39="Australia", "Low-Density Developed Outlier", IF(A39="Liechtenstein", "Ultra-Wealthy Microstate", IF(A39="Monaco", "Extreme Density Microstate", IF(A39="Singapore", "High-Density City-State", "Unclassified Outlier")))))</f>
        <v/>
      </c>
    </row>
    <row r="40" spans="1:30" x14ac:dyDescent="0.35">
      <c r="A40" s="1" t="s">
        <v>158</v>
      </c>
      <c r="B40" s="1" t="s">
        <v>159</v>
      </c>
      <c r="C40" s="1" t="s">
        <v>135</v>
      </c>
      <c r="D40" s="1" t="s">
        <v>57</v>
      </c>
      <c r="E40">
        <v>1.92</v>
      </c>
      <c r="F40" s="1" t="s">
        <v>31</v>
      </c>
      <c r="G40" s="1" t="s">
        <v>32</v>
      </c>
      <c r="H40">
        <v>-4.32</v>
      </c>
      <c r="I40">
        <v>15.31</v>
      </c>
      <c r="J40">
        <v>2344858</v>
      </c>
      <c r="K40">
        <v>109276000</v>
      </c>
      <c r="L40">
        <v>62500000000</v>
      </c>
      <c r="M40">
        <v>0.46</v>
      </c>
      <c r="N40">
        <v>571</v>
      </c>
      <c r="O40">
        <v>61.2</v>
      </c>
      <c r="P40" s="1" t="s">
        <v>33</v>
      </c>
      <c r="Q40" s="1" t="s">
        <v>64</v>
      </c>
      <c r="R40" s="1" t="s">
        <v>36</v>
      </c>
      <c r="S40" s="1" t="s">
        <v>36</v>
      </c>
      <c r="T40" s="1" t="s">
        <v>51</v>
      </c>
      <c r="U40">
        <v>46.6</v>
      </c>
      <c r="V40" s="1" t="s">
        <v>65</v>
      </c>
      <c r="W40" s="1" t="s">
        <v>35</v>
      </c>
      <c r="X40">
        <v>26654</v>
      </c>
      <c r="Y40" s="1" t="s">
        <v>39</v>
      </c>
      <c r="Z40" s="1" t="s">
        <v>39</v>
      </c>
      <c r="AA40">
        <v>1</v>
      </c>
      <c r="AB40" s="1" t="s">
        <v>481</v>
      </c>
      <c r="AC40" s="1" t="s">
        <v>483</v>
      </c>
      <c r="AD40" s="1" t="str">
        <f>IF(AC40="no", "", IF(A40="Australia", "Low-Density Developed Outlier", IF(A40="Liechtenstein", "Ultra-Wealthy Microstate", IF(A40="Monaco", "Extreme Density Microstate", IF(A40="Singapore", "High-Density City-State", "Unclassified Outlier")))))</f>
        <v/>
      </c>
    </row>
    <row r="41" spans="1:30" x14ac:dyDescent="0.35">
      <c r="A41" s="1" t="s">
        <v>160</v>
      </c>
      <c r="B41" s="1" t="s">
        <v>161</v>
      </c>
      <c r="C41" s="1" t="s">
        <v>50</v>
      </c>
      <c r="D41" s="1" t="s">
        <v>57</v>
      </c>
      <c r="E41">
        <v>2.79</v>
      </c>
      <c r="F41" s="1" t="s">
        <v>31</v>
      </c>
      <c r="G41" s="1" t="s">
        <v>32</v>
      </c>
      <c r="H41">
        <v>-4.2699999999999996</v>
      </c>
      <c r="I41">
        <v>15.28</v>
      </c>
      <c r="J41">
        <v>342000</v>
      </c>
      <c r="K41">
        <v>5970424</v>
      </c>
      <c r="L41">
        <v>10820591131</v>
      </c>
      <c r="M41">
        <v>0.31</v>
      </c>
      <c r="N41">
        <v>1812.37</v>
      </c>
      <c r="O41">
        <v>64.3</v>
      </c>
      <c r="P41" s="1" t="s">
        <v>33</v>
      </c>
      <c r="Q41" s="1" t="s">
        <v>64</v>
      </c>
      <c r="R41" s="1" t="s">
        <v>36</v>
      </c>
      <c r="S41" s="1" t="s">
        <v>36</v>
      </c>
      <c r="T41" s="1" t="s">
        <v>51</v>
      </c>
      <c r="U41">
        <v>17.5</v>
      </c>
      <c r="V41" s="1" t="s">
        <v>65</v>
      </c>
      <c r="W41" s="1" t="s">
        <v>35</v>
      </c>
      <c r="X41">
        <v>31639</v>
      </c>
      <c r="Y41" s="1" t="s">
        <v>53</v>
      </c>
      <c r="Z41" s="1" t="s">
        <v>39</v>
      </c>
      <c r="AA41">
        <v>1</v>
      </c>
      <c r="AB41" s="1" t="s">
        <v>481</v>
      </c>
      <c r="AC41" s="1" t="s">
        <v>483</v>
      </c>
      <c r="AD41" s="1" t="str">
        <f>IF(AC41="no", "", IF(A41="Australia", "Low-Density Developed Outlier", IF(A41="Liechtenstein", "Ultra-Wealthy Microstate", IF(A41="Monaco", "Extreme Density Microstate", IF(A41="Singapore", "High-Density City-State", "Unclassified Outlier")))))</f>
        <v/>
      </c>
    </row>
    <row r="42" spans="1:30" x14ac:dyDescent="0.35">
      <c r="A42" s="1" t="s">
        <v>162</v>
      </c>
      <c r="B42" s="1" t="s">
        <v>163</v>
      </c>
      <c r="C42" s="1" t="s">
        <v>50</v>
      </c>
      <c r="D42" s="1" t="s">
        <v>57</v>
      </c>
      <c r="E42">
        <v>8.2899999999999991</v>
      </c>
      <c r="F42" s="1" t="s">
        <v>58</v>
      </c>
      <c r="G42" s="1" t="s">
        <v>32</v>
      </c>
      <c r="H42">
        <v>9.9324999999999992</v>
      </c>
      <c r="I42">
        <v>-84.079599999999999</v>
      </c>
      <c r="J42">
        <v>51180</v>
      </c>
      <c r="K42">
        <v>5180829</v>
      </c>
      <c r="L42">
        <v>61773944174</v>
      </c>
      <c r="M42">
        <v>0.35</v>
      </c>
      <c r="N42">
        <v>11923.56</v>
      </c>
      <c r="O42">
        <v>80.099999999999994</v>
      </c>
      <c r="P42" s="1" t="s">
        <v>69</v>
      </c>
      <c r="Q42" s="1" t="s">
        <v>34</v>
      </c>
      <c r="R42" s="1" t="s">
        <v>36</v>
      </c>
      <c r="S42" s="1" t="s">
        <v>36</v>
      </c>
      <c r="T42" s="1" t="s">
        <v>70</v>
      </c>
      <c r="U42">
        <v>101.2</v>
      </c>
      <c r="V42" s="1" t="s">
        <v>71</v>
      </c>
      <c r="W42" s="1" t="s">
        <v>35</v>
      </c>
      <c r="X42">
        <v>1206994</v>
      </c>
      <c r="Y42" s="1" t="s">
        <v>46</v>
      </c>
      <c r="Z42" s="1" t="s">
        <v>47</v>
      </c>
      <c r="AA42">
        <v>2</v>
      </c>
      <c r="AB42" s="1" t="s">
        <v>479</v>
      </c>
      <c r="AC42" s="1" t="s">
        <v>483</v>
      </c>
      <c r="AD42" s="1" t="str">
        <f>IF(AC42="no", "", IF(A42="Australia", "Low-Density Developed Outlier", IF(A42="Liechtenstein", "Ultra-Wealthy Microstate", IF(A42="Monaco", "Extreme Density Microstate", IF(A42="Singapore", "High-Density City-State", "Unclassified Outlier")))))</f>
        <v/>
      </c>
    </row>
    <row r="43" spans="1:30" x14ac:dyDescent="0.35">
      <c r="A43" s="1" t="s">
        <v>164</v>
      </c>
      <c r="B43" s="1" t="s">
        <v>165</v>
      </c>
      <c r="C43" s="1" t="s">
        <v>50</v>
      </c>
      <c r="D43" s="1" t="s">
        <v>30</v>
      </c>
      <c r="E43">
        <v>4.22</v>
      </c>
      <c r="F43" s="1" t="s">
        <v>63</v>
      </c>
      <c r="G43" s="1" t="s">
        <v>32</v>
      </c>
      <c r="H43">
        <v>6.82</v>
      </c>
      <c r="I43">
        <v>-5.28</v>
      </c>
      <c r="J43">
        <v>322463</v>
      </c>
      <c r="K43">
        <v>28160542</v>
      </c>
      <c r="L43">
        <v>58792205642</v>
      </c>
      <c r="M43">
        <v>0.65</v>
      </c>
      <c r="N43">
        <v>2087.75</v>
      </c>
      <c r="O43">
        <v>57.4</v>
      </c>
      <c r="P43" s="1" t="s">
        <v>69</v>
      </c>
      <c r="Q43" s="1" t="s">
        <v>34</v>
      </c>
      <c r="R43" s="1" t="s">
        <v>36</v>
      </c>
      <c r="S43" s="1" t="s">
        <v>36</v>
      </c>
      <c r="T43" s="1" t="s">
        <v>51</v>
      </c>
      <c r="U43">
        <v>87.3</v>
      </c>
      <c r="V43" s="1" t="s">
        <v>130</v>
      </c>
      <c r="W43" s="1" t="s">
        <v>35</v>
      </c>
      <c r="X43">
        <v>182322</v>
      </c>
      <c r="Y43" s="1" t="s">
        <v>53</v>
      </c>
      <c r="Z43" s="1" t="s">
        <v>39</v>
      </c>
      <c r="AA43">
        <v>1</v>
      </c>
      <c r="AB43" s="1" t="s">
        <v>481</v>
      </c>
      <c r="AC43" s="1" t="s">
        <v>483</v>
      </c>
      <c r="AD43" s="1" t="str">
        <f>IF(AC43="no", "", IF(A43="Australia", "Low-Density Developed Outlier", IF(A43="Liechtenstein", "Ultra-Wealthy Microstate", IF(A43="Monaco", "Extreme Density Microstate", IF(A43="Singapore", "High-Density City-State", "Unclassified Outlier")))))</f>
        <v/>
      </c>
    </row>
    <row r="44" spans="1:30" x14ac:dyDescent="0.35">
      <c r="A44" s="1" t="s">
        <v>166</v>
      </c>
      <c r="B44" s="1" t="s">
        <v>167</v>
      </c>
      <c r="C44" s="1" t="s">
        <v>42</v>
      </c>
      <c r="D44" s="1" t="s">
        <v>57</v>
      </c>
      <c r="E44">
        <v>6.5</v>
      </c>
      <c r="F44" s="1" t="s">
        <v>43</v>
      </c>
      <c r="G44" s="1" t="s">
        <v>59</v>
      </c>
      <c r="H44">
        <v>45.81</v>
      </c>
      <c r="I44">
        <v>15.98</v>
      </c>
      <c r="J44">
        <v>56594</v>
      </c>
      <c r="K44">
        <v>3854000</v>
      </c>
      <c r="L44">
        <v>60415553039</v>
      </c>
      <c r="M44">
        <v>0.28000000000000003</v>
      </c>
      <c r="N44">
        <v>15676.06</v>
      </c>
      <c r="O44">
        <v>78.099999999999994</v>
      </c>
      <c r="P44" s="1" t="s">
        <v>33</v>
      </c>
      <c r="Q44" s="1" t="s">
        <v>34</v>
      </c>
      <c r="R44" s="1" t="s">
        <v>35</v>
      </c>
      <c r="S44" s="1" t="s">
        <v>36</v>
      </c>
      <c r="T44" s="1" t="s">
        <v>44</v>
      </c>
      <c r="U44">
        <v>68.099999999999994</v>
      </c>
      <c r="V44" s="1" t="s">
        <v>45</v>
      </c>
      <c r="W44" s="1" t="s">
        <v>35</v>
      </c>
      <c r="X44">
        <v>1067526</v>
      </c>
      <c r="Y44" s="1" t="s">
        <v>47</v>
      </c>
      <c r="Z44" s="1" t="s">
        <v>47</v>
      </c>
      <c r="AA44">
        <v>2</v>
      </c>
      <c r="AB44" s="1" t="s">
        <v>479</v>
      </c>
      <c r="AC44" s="1" t="s">
        <v>483</v>
      </c>
      <c r="AD44" s="1" t="str">
        <f>IF(AC44="no", "", IF(A44="Australia", "Low-Density Developed Outlier", IF(A44="Liechtenstein", "Ultra-Wealthy Microstate", IF(A44="Monaco", "Extreme Density Microstate", IF(A44="Singapore", "High-Density City-State", "Unclassified Outlier")))))</f>
        <v/>
      </c>
    </row>
    <row r="45" spans="1:30" x14ac:dyDescent="0.35">
      <c r="A45" s="1" t="s">
        <v>168</v>
      </c>
      <c r="B45" s="1" t="s">
        <v>169</v>
      </c>
      <c r="C45" s="1" t="s">
        <v>150</v>
      </c>
      <c r="D45" s="1" t="s">
        <v>57</v>
      </c>
      <c r="E45">
        <v>2.58</v>
      </c>
      <c r="F45" s="1" t="s">
        <v>31</v>
      </c>
      <c r="G45" s="1" t="s">
        <v>32</v>
      </c>
      <c r="H45">
        <v>23.13</v>
      </c>
      <c r="I45">
        <v>-82.38</v>
      </c>
      <c r="J45">
        <v>109884</v>
      </c>
      <c r="K45">
        <v>11212191</v>
      </c>
      <c r="L45">
        <v>100023000000</v>
      </c>
      <c r="M45">
        <v>0.6</v>
      </c>
      <c r="N45">
        <v>8920.91</v>
      </c>
      <c r="O45">
        <v>78.7</v>
      </c>
      <c r="P45" s="1" t="s">
        <v>69</v>
      </c>
      <c r="Q45" s="1" t="s">
        <v>34</v>
      </c>
      <c r="R45" s="1" t="s">
        <v>36</v>
      </c>
      <c r="S45" s="1" t="s">
        <v>36</v>
      </c>
      <c r="T45" s="1" t="s">
        <v>70</v>
      </c>
      <c r="U45">
        <v>102</v>
      </c>
      <c r="V45" s="1" t="s">
        <v>71</v>
      </c>
      <c r="W45" s="1" t="s">
        <v>35</v>
      </c>
      <c r="X45">
        <v>910260</v>
      </c>
      <c r="Y45" s="1" t="s">
        <v>46</v>
      </c>
      <c r="Z45" s="1" t="s">
        <v>47</v>
      </c>
      <c r="AA45">
        <v>3</v>
      </c>
      <c r="AB45" s="1" t="s">
        <v>478</v>
      </c>
      <c r="AC45" s="1" t="s">
        <v>483</v>
      </c>
      <c r="AD45" s="1" t="str">
        <f>IF(AC45="no", "", IF(A45="Australia", "Low-Density Developed Outlier", IF(A45="Liechtenstein", "Ultra-Wealthy Microstate", IF(A45="Monaco", "Extreme Density Microstate", IF(A45="Singapore", "High-Density City-State", "Unclassified Outlier")))))</f>
        <v/>
      </c>
    </row>
    <row r="46" spans="1:30" x14ac:dyDescent="0.35">
      <c r="A46" s="1" t="s">
        <v>170</v>
      </c>
      <c r="B46" s="1" t="s">
        <v>171</v>
      </c>
      <c r="C46" s="1" t="s">
        <v>50</v>
      </c>
      <c r="D46" s="1" t="s">
        <v>57</v>
      </c>
      <c r="E46">
        <v>7.38</v>
      </c>
      <c r="F46" s="1" t="s">
        <v>43</v>
      </c>
      <c r="G46" s="1" t="s">
        <v>59</v>
      </c>
      <c r="H46">
        <v>35.172499999999999</v>
      </c>
      <c r="I46">
        <v>33.365000000000002</v>
      </c>
      <c r="J46">
        <v>9242</v>
      </c>
      <c r="K46">
        <v>1251488</v>
      </c>
      <c r="L46">
        <v>24564647935</v>
      </c>
      <c r="M46">
        <v>0.12</v>
      </c>
      <c r="N46">
        <v>19628.349999999999</v>
      </c>
      <c r="O46">
        <v>80.8</v>
      </c>
      <c r="P46" s="1" t="s">
        <v>33</v>
      </c>
      <c r="Q46" s="1" t="s">
        <v>34</v>
      </c>
      <c r="R46" s="1" t="s">
        <v>35</v>
      </c>
      <c r="S46" s="1" t="s">
        <v>35</v>
      </c>
      <c r="T46" s="1" t="s">
        <v>37</v>
      </c>
      <c r="U46">
        <v>135.4</v>
      </c>
      <c r="V46" s="1" t="s">
        <v>79</v>
      </c>
      <c r="W46" s="1" t="s">
        <v>35</v>
      </c>
      <c r="X46">
        <v>2657936</v>
      </c>
      <c r="Y46" s="1" t="s">
        <v>47</v>
      </c>
      <c r="Z46" s="1" t="s">
        <v>47</v>
      </c>
      <c r="AA46">
        <v>2</v>
      </c>
      <c r="AB46" s="1" t="s">
        <v>479</v>
      </c>
      <c r="AC46" s="1" t="s">
        <v>483</v>
      </c>
      <c r="AD46" s="1" t="str">
        <f>IF(AC46="no", "", IF(A46="Australia", "Low-Density Developed Outlier", IF(A46="Liechtenstein", "Ultra-Wealthy Microstate", IF(A46="Monaco", "Extreme Density Microstate", IF(A46="Singapore", "High-Density City-State", "Unclassified Outlier")))))</f>
        <v/>
      </c>
    </row>
    <row r="47" spans="1:30" x14ac:dyDescent="0.35">
      <c r="A47" s="1" t="s">
        <v>172</v>
      </c>
      <c r="B47" s="1" t="s">
        <v>173</v>
      </c>
      <c r="C47" s="1" t="s">
        <v>42</v>
      </c>
      <c r="D47" s="1" t="s">
        <v>57</v>
      </c>
      <c r="E47">
        <v>8.08</v>
      </c>
      <c r="F47" s="1" t="s">
        <v>58</v>
      </c>
      <c r="G47" s="1" t="s">
        <v>59</v>
      </c>
      <c r="H47">
        <v>50.08</v>
      </c>
      <c r="I47">
        <v>14.44</v>
      </c>
      <c r="J47">
        <v>78866</v>
      </c>
      <c r="K47">
        <v>10526073</v>
      </c>
      <c r="L47">
        <v>246489245495</v>
      </c>
      <c r="M47">
        <v>0.45</v>
      </c>
      <c r="N47">
        <v>23417.02</v>
      </c>
      <c r="O47">
        <v>79</v>
      </c>
      <c r="P47" s="1" t="s">
        <v>33</v>
      </c>
      <c r="Q47" s="1" t="s">
        <v>34</v>
      </c>
      <c r="R47" s="1" t="s">
        <v>35</v>
      </c>
      <c r="S47" s="1" t="s">
        <v>36</v>
      </c>
      <c r="T47" s="1" t="s">
        <v>44</v>
      </c>
      <c r="U47">
        <v>133.5</v>
      </c>
      <c r="V47" s="1" t="s">
        <v>45</v>
      </c>
      <c r="W47" s="1" t="s">
        <v>36</v>
      </c>
      <c r="X47">
        <v>3125418</v>
      </c>
      <c r="Y47" s="1" t="s">
        <v>47</v>
      </c>
      <c r="Z47" s="1" t="s">
        <v>47</v>
      </c>
      <c r="AA47">
        <v>2</v>
      </c>
      <c r="AB47" s="1" t="s">
        <v>479</v>
      </c>
      <c r="AC47" s="1" t="s">
        <v>483</v>
      </c>
      <c r="AD47" s="1" t="str">
        <f>IF(AC47="no", "", IF(A47="Australia", "Low-Density Developed Outlier", IF(A47="Liechtenstein", "Ultra-Wealthy Microstate", IF(A47="Monaco", "Extreme Density Microstate", IF(A47="Singapore", "High-Density City-State", "Unclassified Outlier")))))</f>
        <v/>
      </c>
    </row>
    <row r="48" spans="1:30" x14ac:dyDescent="0.35">
      <c r="A48" s="1" t="s">
        <v>174</v>
      </c>
      <c r="B48" s="1" t="s">
        <v>175</v>
      </c>
      <c r="C48" s="1" t="s">
        <v>68</v>
      </c>
      <c r="D48" s="1" t="s">
        <v>57</v>
      </c>
      <c r="E48">
        <v>9.2799999999999994</v>
      </c>
      <c r="F48" s="1" t="s">
        <v>58</v>
      </c>
      <c r="G48" s="1" t="s">
        <v>59</v>
      </c>
      <c r="H48">
        <v>55.676099999999998</v>
      </c>
      <c r="I48">
        <v>12.568899999999999</v>
      </c>
      <c r="J48">
        <v>42925</v>
      </c>
      <c r="K48">
        <v>5903037</v>
      </c>
      <c r="L48">
        <v>348078018464</v>
      </c>
      <c r="M48">
        <v>0.62</v>
      </c>
      <c r="N48">
        <v>58965.919999999998</v>
      </c>
      <c r="O48">
        <v>81</v>
      </c>
      <c r="P48" s="1" t="s">
        <v>33</v>
      </c>
      <c r="Q48" s="1" t="s">
        <v>34</v>
      </c>
      <c r="R48" s="1" t="s">
        <v>35</v>
      </c>
      <c r="S48" s="1" t="s">
        <v>36</v>
      </c>
      <c r="T48" s="1" t="s">
        <v>44</v>
      </c>
      <c r="U48">
        <v>137.5</v>
      </c>
      <c r="V48" s="1" t="s">
        <v>45</v>
      </c>
      <c r="W48" s="1" t="s">
        <v>35</v>
      </c>
      <c r="X48">
        <v>8108981</v>
      </c>
      <c r="Y48" s="1" t="s">
        <v>47</v>
      </c>
      <c r="Z48" s="1" t="s">
        <v>47</v>
      </c>
      <c r="AA48">
        <v>2</v>
      </c>
      <c r="AB48" s="1" t="s">
        <v>479</v>
      </c>
      <c r="AC48" s="1" t="s">
        <v>483</v>
      </c>
      <c r="AD48" s="1" t="str">
        <f>IF(AC48="no", "", IF(A48="Australia", "Low-Density Developed Outlier", IF(A48="Liechtenstein", "Ultra-Wealthy Microstate", IF(A48="Monaco", "Extreme Density Microstate", IF(A48="Singapore", "High-Density City-State", "Unclassified Outlier")))))</f>
        <v/>
      </c>
    </row>
    <row r="49" spans="1:30" x14ac:dyDescent="0.35">
      <c r="A49" s="1" t="s">
        <v>176</v>
      </c>
      <c r="B49" s="1" t="s">
        <v>177</v>
      </c>
      <c r="C49" s="1" t="s">
        <v>50</v>
      </c>
      <c r="D49" s="1" t="s">
        <v>30</v>
      </c>
      <c r="E49">
        <v>2.7</v>
      </c>
      <c r="F49" s="1" t="s">
        <v>31</v>
      </c>
      <c r="G49" s="1" t="s">
        <v>32</v>
      </c>
      <c r="H49">
        <v>11.59</v>
      </c>
      <c r="I49">
        <v>43.15</v>
      </c>
      <c r="J49">
        <v>23200</v>
      </c>
      <c r="K49">
        <v>1120849</v>
      </c>
      <c r="L49">
        <v>3318716359</v>
      </c>
      <c r="M49">
        <v>0.73</v>
      </c>
      <c r="N49">
        <v>2960.9</v>
      </c>
      <c r="O49">
        <v>66.599999999999994</v>
      </c>
      <c r="P49" s="1" t="s">
        <v>33</v>
      </c>
      <c r="Q49" s="1" t="s">
        <v>34</v>
      </c>
      <c r="R49" s="1" t="s">
        <v>36</v>
      </c>
      <c r="S49" s="1" t="s">
        <v>36</v>
      </c>
      <c r="T49" s="1" t="s">
        <v>51</v>
      </c>
      <c r="U49">
        <v>48.3</v>
      </c>
      <c r="V49" s="1" t="s">
        <v>65</v>
      </c>
      <c r="W49" s="1" t="s">
        <v>35</v>
      </c>
      <c r="X49">
        <v>143048</v>
      </c>
      <c r="Y49" s="1" t="s">
        <v>53</v>
      </c>
      <c r="Z49" s="1" t="s">
        <v>80</v>
      </c>
      <c r="AA49">
        <v>1</v>
      </c>
      <c r="AB49" s="1" t="s">
        <v>481</v>
      </c>
      <c r="AC49" s="1" t="s">
        <v>483</v>
      </c>
      <c r="AD49" s="1" t="str">
        <f>IF(AC49="no", "", IF(A49="Australia", "Low-Density Developed Outlier", IF(A49="Liechtenstein", "Ultra-Wealthy Microstate", IF(A49="Monaco", "Extreme Density Microstate", IF(A49="Singapore", "High-Density City-State", "Unclassified Outlier")))))</f>
        <v/>
      </c>
    </row>
    <row r="50" spans="1:30" x14ac:dyDescent="0.35">
      <c r="A50" s="1" t="s">
        <v>178</v>
      </c>
      <c r="B50" s="1" t="s">
        <v>179</v>
      </c>
      <c r="C50" s="1" t="s">
        <v>42</v>
      </c>
      <c r="D50" s="1" t="s">
        <v>57</v>
      </c>
      <c r="E50">
        <v>5.32</v>
      </c>
      <c r="F50" s="1" t="s">
        <v>63</v>
      </c>
      <c r="G50" s="1" t="s">
        <v>32</v>
      </c>
      <c r="H50">
        <v>15.3</v>
      </c>
      <c r="I50">
        <v>-61.383299999999998</v>
      </c>
      <c r="J50">
        <v>751</v>
      </c>
      <c r="K50">
        <v>72737</v>
      </c>
      <c r="L50">
        <v>596033333</v>
      </c>
      <c r="M50">
        <v>0.33</v>
      </c>
      <c r="N50">
        <v>8194.36</v>
      </c>
      <c r="O50">
        <v>76.599999999999994</v>
      </c>
      <c r="P50" s="1" t="s">
        <v>69</v>
      </c>
      <c r="Q50" s="1" t="s">
        <v>34</v>
      </c>
      <c r="R50" s="1" t="s">
        <v>36</v>
      </c>
      <c r="S50" s="1" t="s">
        <v>36</v>
      </c>
      <c r="T50" s="1" t="s">
        <v>70</v>
      </c>
      <c r="U50">
        <v>96.9</v>
      </c>
      <c r="V50" s="1" t="s">
        <v>71</v>
      </c>
      <c r="W50" s="1" t="s">
        <v>35</v>
      </c>
      <c r="X50">
        <v>793653</v>
      </c>
      <c r="Y50" s="1" t="s">
        <v>46</v>
      </c>
      <c r="Z50" s="1" t="s">
        <v>47</v>
      </c>
      <c r="AA50">
        <v>0</v>
      </c>
      <c r="AB50" s="1" t="s">
        <v>480</v>
      </c>
      <c r="AC50" s="1" t="s">
        <v>483</v>
      </c>
      <c r="AD50" s="1" t="str">
        <f>IF(AC50="no", "", IF(A50="Australia", "Low-Density Developed Outlier", IF(A50="Liechtenstein", "Ultra-Wealthy Microstate", IF(A50="Monaco", "Extreme Density Microstate", IF(A50="Singapore", "High-Density City-State", "Unclassified Outlier")))))</f>
        <v/>
      </c>
    </row>
    <row r="51" spans="1:30" x14ac:dyDescent="0.35">
      <c r="A51" s="1" t="s">
        <v>180</v>
      </c>
      <c r="B51" s="1" t="s">
        <v>181</v>
      </c>
      <c r="C51" s="1" t="s">
        <v>50</v>
      </c>
      <c r="D51" s="1" t="s">
        <v>57</v>
      </c>
      <c r="E51">
        <v>6.62</v>
      </c>
      <c r="F51" s="1" t="s">
        <v>43</v>
      </c>
      <c r="G51" s="1" t="s">
        <v>32</v>
      </c>
      <c r="H51">
        <v>18.476400000000002</v>
      </c>
      <c r="I51">
        <v>-69.893299999999996</v>
      </c>
      <c r="J51">
        <v>48671</v>
      </c>
      <c r="K51">
        <v>11228821</v>
      </c>
      <c r="L51">
        <v>88941298258</v>
      </c>
      <c r="M51">
        <v>0.49</v>
      </c>
      <c r="N51">
        <v>7920.8</v>
      </c>
      <c r="O51">
        <v>73.900000000000006</v>
      </c>
      <c r="P51" s="1" t="s">
        <v>69</v>
      </c>
      <c r="Q51" s="1" t="s">
        <v>34</v>
      </c>
      <c r="R51" s="1" t="s">
        <v>36</v>
      </c>
      <c r="S51" s="1" t="s">
        <v>36</v>
      </c>
      <c r="T51" s="1" t="s">
        <v>70</v>
      </c>
      <c r="U51">
        <v>230.7</v>
      </c>
      <c r="V51" s="1" t="s">
        <v>71</v>
      </c>
      <c r="W51" s="1" t="s">
        <v>35</v>
      </c>
      <c r="X51">
        <v>1827398</v>
      </c>
      <c r="Y51" s="1" t="s">
        <v>46</v>
      </c>
      <c r="Z51" s="1" t="s">
        <v>80</v>
      </c>
      <c r="AA51">
        <v>3</v>
      </c>
      <c r="AB51" s="1" t="s">
        <v>478</v>
      </c>
      <c r="AC51" s="1" t="s">
        <v>483</v>
      </c>
      <c r="AD51" s="1" t="str">
        <f>IF(AC51="no", "", IF(A51="Australia", "Low-Density Developed Outlier", IF(A51="Liechtenstein", "Ultra-Wealthy Microstate", IF(A51="Monaco", "Extreme Density Microstate", IF(A51="Singapore", "High-Density City-State", "Unclassified Outlier")))))</f>
        <v/>
      </c>
    </row>
    <row r="52" spans="1:30" x14ac:dyDescent="0.35">
      <c r="A52" s="1" t="s">
        <v>182</v>
      </c>
      <c r="B52" s="1" t="s">
        <v>183</v>
      </c>
      <c r="C52" s="1" t="s">
        <v>50</v>
      </c>
      <c r="D52" s="1" t="s">
        <v>57</v>
      </c>
      <c r="E52">
        <v>5.24</v>
      </c>
      <c r="F52" s="1" t="s">
        <v>63</v>
      </c>
      <c r="G52" s="1" t="s">
        <v>32</v>
      </c>
      <c r="H52">
        <v>-0.22</v>
      </c>
      <c r="I52">
        <v>-78.512500000000003</v>
      </c>
      <c r="J52">
        <v>257204</v>
      </c>
      <c r="K52">
        <v>18001000</v>
      </c>
      <c r="L52">
        <v>107435665000</v>
      </c>
      <c r="M52">
        <v>0.22</v>
      </c>
      <c r="N52">
        <v>5968.32</v>
      </c>
      <c r="O52">
        <v>76.8</v>
      </c>
      <c r="P52" s="1" t="s">
        <v>69</v>
      </c>
      <c r="Q52" s="1" t="s">
        <v>64</v>
      </c>
      <c r="R52" s="1" t="s">
        <v>36</v>
      </c>
      <c r="S52" s="1" t="s">
        <v>36</v>
      </c>
      <c r="T52" s="1" t="s">
        <v>75</v>
      </c>
      <c r="U52">
        <v>70</v>
      </c>
      <c r="V52" s="1" t="s">
        <v>155</v>
      </c>
      <c r="W52" s="1" t="s">
        <v>35</v>
      </c>
      <c r="X52">
        <v>417706</v>
      </c>
      <c r="Y52" s="1" t="s">
        <v>46</v>
      </c>
      <c r="Z52" s="1" t="s">
        <v>47</v>
      </c>
      <c r="AA52">
        <v>0</v>
      </c>
      <c r="AB52" s="1" t="s">
        <v>480</v>
      </c>
      <c r="AC52" s="1" t="s">
        <v>483</v>
      </c>
      <c r="AD52" s="1" t="str">
        <f>IF(AC52="no", "", IF(A52="Australia", "Low-Density Developed Outlier", IF(A52="Liechtenstein", "Ultra-Wealthy Microstate", IF(A52="Monaco", "Extreme Density Microstate", IF(A52="Singapore", "High-Density City-State", "Unclassified Outlier")))))</f>
        <v/>
      </c>
    </row>
    <row r="53" spans="1:30" x14ac:dyDescent="0.35">
      <c r="A53" s="1" t="s">
        <v>184</v>
      </c>
      <c r="B53" s="1" t="s">
        <v>185</v>
      </c>
      <c r="C53" s="1" t="s">
        <v>135</v>
      </c>
      <c r="D53" s="1" t="s">
        <v>30</v>
      </c>
      <c r="E53">
        <v>2.79</v>
      </c>
      <c r="F53" s="1" t="s">
        <v>31</v>
      </c>
      <c r="G53" s="1" t="s">
        <v>32</v>
      </c>
      <c r="H53">
        <v>30.0444</v>
      </c>
      <c r="I53">
        <v>31.235800000000001</v>
      </c>
      <c r="J53">
        <v>1010408</v>
      </c>
      <c r="K53">
        <v>110990103</v>
      </c>
      <c r="L53">
        <v>303175127598</v>
      </c>
      <c r="M53">
        <v>0.04</v>
      </c>
      <c r="N53">
        <v>2731.55</v>
      </c>
      <c r="O53">
        <v>71.8</v>
      </c>
      <c r="P53" s="1" t="s">
        <v>33</v>
      </c>
      <c r="Q53" s="1" t="s">
        <v>34</v>
      </c>
      <c r="R53" s="1" t="s">
        <v>35</v>
      </c>
      <c r="S53" s="1" t="s">
        <v>35</v>
      </c>
      <c r="T53" s="1" t="s">
        <v>51</v>
      </c>
      <c r="U53">
        <v>109.8</v>
      </c>
      <c r="V53" s="1" t="s">
        <v>52</v>
      </c>
      <c r="W53" s="1" t="s">
        <v>35</v>
      </c>
      <c r="X53">
        <v>300052</v>
      </c>
      <c r="Y53" s="1" t="s">
        <v>53</v>
      </c>
      <c r="Z53" s="1" t="s">
        <v>80</v>
      </c>
      <c r="AA53">
        <v>0</v>
      </c>
      <c r="AB53" s="1" t="s">
        <v>480</v>
      </c>
      <c r="AC53" s="1" t="s">
        <v>483</v>
      </c>
      <c r="AD53" s="1" t="str">
        <f>IF(AC53="no", "", IF(A53="Australia", "Low-Density Developed Outlier", IF(A53="Liechtenstein", "Ultra-Wealthy Microstate", IF(A53="Monaco", "Extreme Density Microstate", IF(A53="Singapore", "High-Density City-State", "Unclassified Outlier")))))</f>
        <v/>
      </c>
    </row>
    <row r="54" spans="1:30" x14ac:dyDescent="0.35">
      <c r="A54" s="1" t="s">
        <v>186</v>
      </c>
      <c r="B54" s="1" t="s">
        <v>187</v>
      </c>
      <c r="C54" s="1" t="s">
        <v>50</v>
      </c>
      <c r="D54" s="1" t="s">
        <v>57</v>
      </c>
      <c r="E54">
        <v>4.6100000000000003</v>
      </c>
      <c r="F54" s="1" t="s">
        <v>63</v>
      </c>
      <c r="G54" s="1" t="s">
        <v>32</v>
      </c>
      <c r="H54">
        <v>13.699</v>
      </c>
      <c r="I54">
        <v>-89.191400000000002</v>
      </c>
      <c r="J54">
        <v>20742</v>
      </c>
      <c r="K54">
        <v>6336392</v>
      </c>
      <c r="L54">
        <v>27022640000</v>
      </c>
      <c r="M54">
        <v>0.76</v>
      </c>
      <c r="N54">
        <v>4264.67</v>
      </c>
      <c r="O54">
        <v>73.099999999999994</v>
      </c>
      <c r="P54" s="1" t="s">
        <v>69</v>
      </c>
      <c r="Q54" s="1" t="s">
        <v>34</v>
      </c>
      <c r="R54" s="1" t="s">
        <v>36</v>
      </c>
      <c r="S54" s="1" t="s">
        <v>36</v>
      </c>
      <c r="T54" s="1" t="s">
        <v>70</v>
      </c>
      <c r="U54">
        <v>305.5</v>
      </c>
      <c r="V54" s="1" t="s">
        <v>71</v>
      </c>
      <c r="W54" s="1" t="s">
        <v>35</v>
      </c>
      <c r="X54">
        <v>1302798</v>
      </c>
      <c r="Y54" s="1" t="s">
        <v>46</v>
      </c>
      <c r="Z54" s="1" t="s">
        <v>80</v>
      </c>
      <c r="AA54">
        <v>3</v>
      </c>
      <c r="AB54" s="1" t="s">
        <v>478</v>
      </c>
      <c r="AC54" s="1" t="s">
        <v>483</v>
      </c>
      <c r="AD54" s="1" t="str">
        <f>IF(AC54="no", "", IF(A54="Australia", "Low-Density Developed Outlier", IF(A54="Liechtenstein", "Ultra-Wealthy Microstate", IF(A54="Monaco", "Extreme Density Microstate", IF(A54="Singapore", "High-Density City-State", "Unclassified Outlier")))))</f>
        <v/>
      </c>
    </row>
    <row r="55" spans="1:30" x14ac:dyDescent="0.35">
      <c r="A55" s="1" t="s">
        <v>188</v>
      </c>
      <c r="B55" s="1" t="s">
        <v>189</v>
      </c>
      <c r="C55" s="1" t="s">
        <v>50</v>
      </c>
      <c r="D55" s="1" t="s">
        <v>57</v>
      </c>
      <c r="E55">
        <v>1.92</v>
      </c>
      <c r="F55" s="1" t="s">
        <v>31</v>
      </c>
      <c r="G55" s="1" t="s">
        <v>32</v>
      </c>
      <c r="H55">
        <v>1.5916999999999999</v>
      </c>
      <c r="I55">
        <v>10.8222</v>
      </c>
      <c r="J55">
        <v>28051</v>
      </c>
      <c r="K55">
        <v>1674908</v>
      </c>
      <c r="L55">
        <v>11026774945</v>
      </c>
      <c r="M55">
        <v>0.1</v>
      </c>
      <c r="N55">
        <v>6583.51</v>
      </c>
      <c r="O55">
        <v>58.4</v>
      </c>
      <c r="P55" s="1" t="s">
        <v>33</v>
      </c>
      <c r="Q55" s="1" t="s">
        <v>34</v>
      </c>
      <c r="R55" s="1" t="s">
        <v>36</v>
      </c>
      <c r="S55" s="1" t="s">
        <v>35</v>
      </c>
      <c r="T55" s="1" t="s">
        <v>51</v>
      </c>
      <c r="U55">
        <v>59.7</v>
      </c>
      <c r="V55" s="1" t="s">
        <v>65</v>
      </c>
      <c r="W55" s="1" t="s">
        <v>35</v>
      </c>
      <c r="X55">
        <v>393097</v>
      </c>
      <c r="Y55" s="1" t="s">
        <v>46</v>
      </c>
      <c r="Z55" s="1" t="s">
        <v>39</v>
      </c>
      <c r="AA55">
        <v>0</v>
      </c>
      <c r="AB55" s="1" t="s">
        <v>480</v>
      </c>
      <c r="AC55" s="1" t="s">
        <v>483</v>
      </c>
      <c r="AD55" s="1" t="str">
        <f>IF(AC55="no", "", IF(A55="Australia", "Low-Density Developed Outlier", IF(A55="Liechtenstein", "Ultra-Wealthy Microstate", IF(A55="Monaco", "Extreme Density Microstate", IF(A55="Singapore", "High-Density City-State", "Unclassified Outlier")))))</f>
        <v/>
      </c>
    </row>
    <row r="56" spans="1:30" x14ac:dyDescent="0.35">
      <c r="A56" s="1" t="s">
        <v>190</v>
      </c>
      <c r="B56" s="1" t="s">
        <v>191</v>
      </c>
      <c r="C56" s="1" t="s">
        <v>192</v>
      </c>
      <c r="D56" s="1" t="s">
        <v>57</v>
      </c>
      <c r="E56">
        <v>1.97</v>
      </c>
      <c r="F56" s="1" t="s">
        <v>31</v>
      </c>
      <c r="G56" s="1" t="s">
        <v>32</v>
      </c>
      <c r="H56">
        <v>15.333299999999999</v>
      </c>
      <c r="I56">
        <v>38.916699999999999</v>
      </c>
      <c r="J56">
        <v>117600</v>
      </c>
      <c r="K56">
        <v>3684032</v>
      </c>
      <c r="L56">
        <v>2065001626</v>
      </c>
      <c r="M56">
        <v>0.75</v>
      </c>
      <c r="N56">
        <v>560.53</v>
      </c>
      <c r="O56">
        <v>65.900000000000006</v>
      </c>
      <c r="P56" s="1" t="s">
        <v>33</v>
      </c>
      <c r="Q56" s="1" t="s">
        <v>34</v>
      </c>
      <c r="R56" s="1" t="s">
        <v>36</v>
      </c>
      <c r="S56" s="1" t="s">
        <v>36</v>
      </c>
      <c r="T56" s="1" t="s">
        <v>51</v>
      </c>
      <c r="U56">
        <v>31.3</v>
      </c>
      <c r="V56" s="1" t="s">
        <v>65</v>
      </c>
      <c r="W56" s="1" t="s">
        <v>35</v>
      </c>
      <c r="X56">
        <v>17560</v>
      </c>
      <c r="Y56" s="1" t="s">
        <v>39</v>
      </c>
      <c r="Z56" s="1" t="s">
        <v>80</v>
      </c>
      <c r="AA56">
        <v>1</v>
      </c>
      <c r="AB56" s="1" t="s">
        <v>481</v>
      </c>
      <c r="AC56" s="1" t="s">
        <v>483</v>
      </c>
      <c r="AD56" s="1" t="str">
        <f>IF(AC56="no", "", IF(A56="Australia", "Low-Density Developed Outlier", IF(A56="Liechtenstein", "Ultra-Wealthy Microstate", IF(A56="Monaco", "Extreme Density Microstate", IF(A56="Singapore", "High-Density City-State", "Unclassified Outlier")))))</f>
        <v/>
      </c>
    </row>
    <row r="57" spans="1:30" x14ac:dyDescent="0.35">
      <c r="A57" s="1" t="s">
        <v>193</v>
      </c>
      <c r="B57" s="1" t="s">
        <v>194</v>
      </c>
      <c r="C57" s="1" t="s">
        <v>42</v>
      </c>
      <c r="D57" s="1" t="s">
        <v>57</v>
      </c>
      <c r="E57">
        <v>8.1300000000000008</v>
      </c>
      <c r="F57" s="1" t="s">
        <v>58</v>
      </c>
      <c r="G57" s="1" t="s">
        <v>59</v>
      </c>
      <c r="H57">
        <v>59.437199999999997</v>
      </c>
      <c r="I57">
        <v>24.745000000000001</v>
      </c>
      <c r="J57">
        <v>45335</v>
      </c>
      <c r="K57">
        <v>1344768</v>
      </c>
      <c r="L57">
        <v>31386949981</v>
      </c>
      <c r="M57">
        <v>0.23</v>
      </c>
      <c r="N57">
        <v>23340.05</v>
      </c>
      <c r="O57">
        <v>78.2</v>
      </c>
      <c r="P57" s="1" t="s">
        <v>33</v>
      </c>
      <c r="Q57" s="1" t="s">
        <v>34</v>
      </c>
      <c r="R57" s="1" t="s">
        <v>35</v>
      </c>
      <c r="S57" s="1" t="s">
        <v>36</v>
      </c>
      <c r="T57" s="1" t="s">
        <v>44</v>
      </c>
      <c r="U57">
        <v>29.7</v>
      </c>
      <c r="V57" s="1" t="s">
        <v>195</v>
      </c>
      <c r="W57" s="1" t="s">
        <v>35</v>
      </c>
      <c r="X57">
        <v>692334</v>
      </c>
      <c r="Y57" s="1" t="s">
        <v>47</v>
      </c>
      <c r="Z57" s="1" t="s">
        <v>47</v>
      </c>
      <c r="AA57">
        <v>2</v>
      </c>
      <c r="AB57" s="1" t="s">
        <v>479</v>
      </c>
      <c r="AC57" s="1" t="s">
        <v>483</v>
      </c>
      <c r="AD57" s="1" t="str">
        <f>IF(AC57="no", "", IF(A57="Australia", "Low-Density Developed Outlier", IF(A57="Liechtenstein", "Ultra-Wealthy Microstate", IF(A57="Monaco", "Extreme Density Microstate", IF(A57="Singapore", "High-Density City-State", "Unclassified Outlier")))))</f>
        <v/>
      </c>
    </row>
    <row r="58" spans="1:30" x14ac:dyDescent="0.35">
      <c r="A58" s="1" t="s">
        <v>196</v>
      </c>
      <c r="B58" s="1" t="s">
        <v>197</v>
      </c>
      <c r="C58" s="1" t="s">
        <v>123</v>
      </c>
      <c r="D58" s="1" t="s">
        <v>57</v>
      </c>
      <c r="E58">
        <v>2.6</v>
      </c>
      <c r="F58" s="1" t="s">
        <v>31</v>
      </c>
      <c r="G58" s="1" t="s">
        <v>32</v>
      </c>
      <c r="H58">
        <v>-26.4465</v>
      </c>
      <c r="I58">
        <v>31.206399999999999</v>
      </c>
      <c r="J58">
        <v>17364</v>
      </c>
      <c r="K58">
        <v>1201670</v>
      </c>
      <c r="L58">
        <v>3791304348</v>
      </c>
      <c r="M58">
        <v>0.11</v>
      </c>
      <c r="N58">
        <v>3155.03</v>
      </c>
      <c r="O58">
        <v>60</v>
      </c>
      <c r="P58" s="1" t="s">
        <v>33</v>
      </c>
      <c r="Q58" s="1" t="s">
        <v>64</v>
      </c>
      <c r="R58" s="1" t="s">
        <v>35</v>
      </c>
      <c r="S58" s="1" t="s">
        <v>35</v>
      </c>
      <c r="T58" s="1" t="s">
        <v>51</v>
      </c>
      <c r="U58">
        <v>69.2</v>
      </c>
      <c r="V58" s="1" t="s">
        <v>118</v>
      </c>
      <c r="W58" s="1" t="s">
        <v>36</v>
      </c>
      <c r="X58">
        <v>218343</v>
      </c>
      <c r="Y58" s="1" t="s">
        <v>53</v>
      </c>
      <c r="Z58" s="1" t="s">
        <v>39</v>
      </c>
      <c r="AA58">
        <v>0</v>
      </c>
      <c r="AB58" s="1" t="s">
        <v>480</v>
      </c>
      <c r="AC58" s="1" t="s">
        <v>483</v>
      </c>
      <c r="AD58" s="1" t="str">
        <f>IF(AC58="no", "", IF(A58="Australia", "Low-Density Developed Outlier", IF(A58="Liechtenstein", "Ultra-Wealthy Microstate", IF(A58="Monaco", "Extreme Density Microstate", IF(A58="Singapore", "High-Density City-State", "Unclassified Outlier")))))</f>
        <v/>
      </c>
    </row>
    <row r="59" spans="1:30" x14ac:dyDescent="0.35">
      <c r="A59" s="1" t="s">
        <v>198</v>
      </c>
      <c r="B59" s="1" t="s">
        <v>199</v>
      </c>
      <c r="C59" s="1" t="s">
        <v>88</v>
      </c>
      <c r="D59" s="1" t="s">
        <v>57</v>
      </c>
      <c r="E59">
        <v>3.24</v>
      </c>
      <c r="F59" s="1" t="s">
        <v>31</v>
      </c>
      <c r="G59" s="1" t="s">
        <v>32</v>
      </c>
      <c r="H59">
        <v>9.02</v>
      </c>
      <c r="I59">
        <v>38.75</v>
      </c>
      <c r="J59">
        <v>1104300</v>
      </c>
      <c r="K59">
        <v>123379924</v>
      </c>
      <c r="L59">
        <v>96107662398</v>
      </c>
      <c r="M59">
        <v>0.36</v>
      </c>
      <c r="N59">
        <v>778.96</v>
      </c>
      <c r="O59">
        <v>66.2</v>
      </c>
      <c r="P59" s="1" t="s">
        <v>33</v>
      </c>
      <c r="Q59" s="1" t="s">
        <v>34</v>
      </c>
      <c r="R59" s="1" t="s">
        <v>36</v>
      </c>
      <c r="S59" s="1" t="s">
        <v>36</v>
      </c>
      <c r="T59" s="1" t="s">
        <v>51</v>
      </c>
      <c r="U59">
        <v>111.7</v>
      </c>
      <c r="V59" s="1" t="s">
        <v>65</v>
      </c>
      <c r="W59" s="1" t="s">
        <v>36</v>
      </c>
      <c r="X59">
        <v>87030</v>
      </c>
      <c r="Y59" s="1" t="s">
        <v>39</v>
      </c>
      <c r="Z59" s="1" t="s">
        <v>80</v>
      </c>
      <c r="AA59">
        <v>1</v>
      </c>
      <c r="AB59" s="1" t="s">
        <v>481</v>
      </c>
      <c r="AC59" s="1" t="s">
        <v>483</v>
      </c>
      <c r="AD59" s="1" t="str">
        <f>IF(AC59="no", "", IF(A59="Australia", "Low-Density Developed Outlier", IF(A59="Liechtenstein", "Ultra-Wealthy Microstate", IF(A59="Monaco", "Extreme Density Microstate", IF(A59="Singapore", "High-Density City-State", "Unclassified Outlier")))))</f>
        <v/>
      </c>
    </row>
    <row r="60" spans="1:30" x14ac:dyDescent="0.35">
      <c r="A60" s="1" t="s">
        <v>200</v>
      </c>
      <c r="B60" s="1" t="s">
        <v>201</v>
      </c>
      <c r="C60" s="1" t="s">
        <v>42</v>
      </c>
      <c r="D60" s="1" t="s">
        <v>57</v>
      </c>
      <c r="E60">
        <v>5.39</v>
      </c>
      <c r="F60" s="1" t="s">
        <v>63</v>
      </c>
      <c r="G60" s="1" t="s">
        <v>32</v>
      </c>
      <c r="H60">
        <v>-18.133299999999998</v>
      </c>
      <c r="I60">
        <v>178.4333</v>
      </c>
      <c r="J60">
        <v>18274</v>
      </c>
      <c r="K60">
        <v>929766</v>
      </c>
      <c r="L60">
        <v>5535548972</v>
      </c>
      <c r="M60">
        <v>0.23</v>
      </c>
      <c r="N60">
        <v>5953.7</v>
      </c>
      <c r="O60">
        <v>67.3</v>
      </c>
      <c r="P60" s="1" t="s">
        <v>33</v>
      </c>
      <c r="Q60" s="1" t="s">
        <v>64</v>
      </c>
      <c r="R60" s="1" t="s">
        <v>36</v>
      </c>
      <c r="S60" s="1" t="s">
        <v>36</v>
      </c>
      <c r="T60" s="1" t="s">
        <v>84</v>
      </c>
      <c r="U60">
        <v>50.9</v>
      </c>
      <c r="V60" s="1" t="s">
        <v>202</v>
      </c>
      <c r="W60" s="1" t="s">
        <v>35</v>
      </c>
      <c r="X60">
        <v>302919</v>
      </c>
      <c r="Y60" s="1" t="s">
        <v>46</v>
      </c>
      <c r="Z60" s="1" t="s">
        <v>80</v>
      </c>
      <c r="AA60">
        <v>0</v>
      </c>
      <c r="AB60" s="1" t="s">
        <v>480</v>
      </c>
      <c r="AC60" s="1" t="s">
        <v>483</v>
      </c>
      <c r="AD60" s="1" t="str">
        <f>IF(AC60="no", "", IF(A60="Australia", "Low-Density Developed Outlier", IF(A60="Liechtenstein", "Ultra-Wealthy Microstate", IF(A60="Monaco", "Extreme Density Microstate", IF(A60="Singapore", "High-Density City-State", "Unclassified Outlier")))))</f>
        <v/>
      </c>
    </row>
    <row r="61" spans="1:30" x14ac:dyDescent="0.35">
      <c r="A61" s="1" t="s">
        <v>203</v>
      </c>
      <c r="B61" s="1" t="s">
        <v>204</v>
      </c>
      <c r="C61" s="1" t="s">
        <v>42</v>
      </c>
      <c r="D61" s="1" t="s">
        <v>57</v>
      </c>
      <c r="E61">
        <v>9.3000000000000007</v>
      </c>
      <c r="F61" s="1" t="s">
        <v>58</v>
      </c>
      <c r="G61" s="1" t="s">
        <v>59</v>
      </c>
      <c r="H61">
        <v>60.1708</v>
      </c>
      <c r="I61">
        <v>24.9375</v>
      </c>
      <c r="J61">
        <v>338478</v>
      </c>
      <c r="K61">
        <v>5556880</v>
      </c>
      <c r="L61">
        <v>268761201365</v>
      </c>
      <c r="M61">
        <v>0.08</v>
      </c>
      <c r="N61">
        <v>48365.49</v>
      </c>
      <c r="O61">
        <v>81.7</v>
      </c>
      <c r="P61" s="1" t="s">
        <v>33</v>
      </c>
      <c r="Q61" s="1" t="s">
        <v>34</v>
      </c>
      <c r="R61" s="1" t="s">
        <v>35</v>
      </c>
      <c r="S61" s="1" t="s">
        <v>35</v>
      </c>
      <c r="T61" s="1" t="s">
        <v>44</v>
      </c>
      <c r="U61">
        <v>16.399999999999999</v>
      </c>
      <c r="V61" s="1" t="s">
        <v>195</v>
      </c>
      <c r="W61" s="1" t="s">
        <v>35</v>
      </c>
      <c r="X61">
        <v>794029</v>
      </c>
      <c r="Y61" s="1" t="s">
        <v>47</v>
      </c>
      <c r="Z61" s="1" t="s">
        <v>47</v>
      </c>
      <c r="AA61">
        <v>2</v>
      </c>
      <c r="AB61" s="1" t="s">
        <v>479</v>
      </c>
      <c r="AC61" s="1" t="s">
        <v>483</v>
      </c>
      <c r="AD61" s="1" t="str">
        <f>IF(AC61="no", "", IF(A61="Australia", "Low-Density Developed Outlier", IF(A61="Liechtenstein", "Ultra-Wealthy Microstate", IF(A61="Monaco", "Extreme Density Microstate", IF(A61="Singapore", "High-Density City-State", "Unclassified Outlier")))))</f>
        <v/>
      </c>
    </row>
    <row r="62" spans="1:30" x14ac:dyDescent="0.35">
      <c r="A62" s="1" t="s">
        <v>205</v>
      </c>
      <c r="B62" s="1" t="s">
        <v>206</v>
      </c>
      <c r="C62" s="1" t="s">
        <v>135</v>
      </c>
      <c r="D62" s="1" t="s">
        <v>57</v>
      </c>
      <c r="E62">
        <v>7.99</v>
      </c>
      <c r="F62" s="1" t="s">
        <v>43</v>
      </c>
      <c r="G62" s="1" t="s">
        <v>59</v>
      </c>
      <c r="H62">
        <v>48.856699999999996</v>
      </c>
      <c r="I62">
        <v>2.3521999999999998</v>
      </c>
      <c r="J62">
        <v>643801</v>
      </c>
      <c r="K62">
        <v>67749632</v>
      </c>
      <c r="L62">
        <v>2715518274227</v>
      </c>
      <c r="M62">
        <v>0.52</v>
      </c>
      <c r="N62">
        <v>40081.67</v>
      </c>
      <c r="O62">
        <v>82.5</v>
      </c>
      <c r="P62" s="1" t="s">
        <v>33</v>
      </c>
      <c r="Q62" s="1" t="s">
        <v>34</v>
      </c>
      <c r="R62" s="1" t="s">
        <v>35</v>
      </c>
      <c r="S62" s="1" t="s">
        <v>36</v>
      </c>
      <c r="T62" s="1" t="s">
        <v>44</v>
      </c>
      <c r="U62">
        <v>105.2</v>
      </c>
      <c r="V62" s="1" t="s">
        <v>60</v>
      </c>
      <c r="W62" s="1" t="s">
        <v>35</v>
      </c>
      <c r="X62">
        <v>4217947</v>
      </c>
      <c r="Y62" s="1" t="s">
        <v>47</v>
      </c>
      <c r="Z62" s="1" t="s">
        <v>47</v>
      </c>
      <c r="AA62">
        <v>2</v>
      </c>
      <c r="AB62" s="1" t="s">
        <v>479</v>
      </c>
      <c r="AC62" s="1" t="s">
        <v>483</v>
      </c>
      <c r="AD62" s="1" t="str">
        <f>IF(AC62="no", "", IF(A62="Australia", "Low-Density Developed Outlier", IF(A62="Liechtenstein", "Ultra-Wealthy Microstate", IF(A62="Monaco", "Extreme Density Microstate", IF(A62="Singapore", "High-Density City-State", "Unclassified Outlier")))))</f>
        <v/>
      </c>
    </row>
    <row r="63" spans="1:30" x14ac:dyDescent="0.35">
      <c r="A63" s="1" t="s">
        <v>207</v>
      </c>
      <c r="B63" s="1" t="s">
        <v>208</v>
      </c>
      <c r="C63" s="1" t="s">
        <v>50</v>
      </c>
      <c r="D63" s="1" t="s">
        <v>57</v>
      </c>
      <c r="E63">
        <v>2.1800000000000002</v>
      </c>
      <c r="F63" s="1" t="s">
        <v>31</v>
      </c>
      <c r="G63" s="1" t="s">
        <v>32</v>
      </c>
      <c r="H63">
        <v>0.3901</v>
      </c>
      <c r="I63">
        <v>9.4543999999999997</v>
      </c>
      <c r="J63">
        <v>267667</v>
      </c>
      <c r="K63">
        <v>2388992</v>
      </c>
      <c r="L63">
        <v>16657960228</v>
      </c>
      <c r="M63">
        <v>0.2</v>
      </c>
      <c r="N63">
        <v>6972.8</v>
      </c>
      <c r="O63">
        <v>66.2</v>
      </c>
      <c r="P63" s="1" t="s">
        <v>33</v>
      </c>
      <c r="Q63" s="1" t="s">
        <v>34</v>
      </c>
      <c r="R63" s="1" t="s">
        <v>36</v>
      </c>
      <c r="S63" s="1" t="s">
        <v>35</v>
      </c>
      <c r="T63" s="1" t="s">
        <v>51</v>
      </c>
      <c r="U63">
        <v>8.9</v>
      </c>
      <c r="V63" s="1" t="s">
        <v>65</v>
      </c>
      <c r="W63" s="1" t="s">
        <v>35</v>
      </c>
      <c r="X63">
        <v>62234</v>
      </c>
      <c r="Y63" s="1" t="s">
        <v>46</v>
      </c>
      <c r="Z63" s="1" t="s">
        <v>80</v>
      </c>
      <c r="AA63">
        <v>0</v>
      </c>
      <c r="AB63" s="1" t="s">
        <v>480</v>
      </c>
      <c r="AC63" s="1" t="s">
        <v>483</v>
      </c>
      <c r="AD63" s="1" t="str">
        <f>IF(AC63="no", "", IF(A63="Australia", "Low-Density Developed Outlier", IF(A63="Liechtenstein", "Ultra-Wealthy Microstate", IF(A63="Monaco", "Extreme Density Microstate", IF(A63="Singapore", "High-Density City-State", "Unclassified Outlier")))))</f>
        <v/>
      </c>
    </row>
    <row r="64" spans="1:30" x14ac:dyDescent="0.35">
      <c r="A64" s="1" t="s">
        <v>209</v>
      </c>
      <c r="B64" s="1" t="s">
        <v>210</v>
      </c>
      <c r="C64" s="1" t="s">
        <v>50</v>
      </c>
      <c r="D64" s="1" t="s">
        <v>30</v>
      </c>
      <c r="E64">
        <v>4.47</v>
      </c>
      <c r="F64" s="1" t="s">
        <v>63</v>
      </c>
      <c r="G64" s="1" t="s">
        <v>32</v>
      </c>
      <c r="H64">
        <v>13.45</v>
      </c>
      <c r="I64">
        <v>-16.579999999999998</v>
      </c>
      <c r="J64">
        <v>11300</v>
      </c>
      <c r="K64">
        <v>2705992</v>
      </c>
      <c r="L64">
        <v>1763819048</v>
      </c>
      <c r="M64">
        <v>0.6</v>
      </c>
      <c r="N64">
        <v>651.82000000000005</v>
      </c>
      <c r="O64">
        <v>61.7</v>
      </c>
      <c r="P64" s="1" t="s">
        <v>69</v>
      </c>
      <c r="Q64" s="1" t="s">
        <v>34</v>
      </c>
      <c r="R64" s="1" t="s">
        <v>36</v>
      </c>
      <c r="S64" s="1" t="s">
        <v>36</v>
      </c>
      <c r="T64" s="1" t="s">
        <v>51</v>
      </c>
      <c r="U64">
        <v>239.5</v>
      </c>
      <c r="V64" s="1" t="s">
        <v>130</v>
      </c>
      <c r="W64" s="1" t="s">
        <v>35</v>
      </c>
      <c r="X64">
        <v>156090</v>
      </c>
      <c r="Y64" s="1" t="s">
        <v>39</v>
      </c>
      <c r="Z64" s="1" t="s">
        <v>39</v>
      </c>
      <c r="AA64">
        <v>1</v>
      </c>
      <c r="AB64" s="1" t="s">
        <v>481</v>
      </c>
      <c r="AC64" s="1" t="s">
        <v>483</v>
      </c>
      <c r="AD64" s="1" t="str">
        <f>IF(AC64="no", "", IF(A64="Australia", "Low-Density Developed Outlier", IF(A64="Liechtenstein", "Ultra-Wealthy Microstate", IF(A64="Monaco", "Extreme Density Microstate", IF(A64="Singapore", "High-Density City-State", "Unclassified Outlier")))))</f>
        <v/>
      </c>
    </row>
    <row r="65" spans="1:30" x14ac:dyDescent="0.35">
      <c r="A65" s="1" t="s">
        <v>211</v>
      </c>
      <c r="B65" s="1" t="s">
        <v>212</v>
      </c>
      <c r="C65" s="1" t="s">
        <v>42</v>
      </c>
      <c r="D65" s="1" t="s">
        <v>57</v>
      </c>
      <c r="E65">
        <v>4.7</v>
      </c>
      <c r="F65" s="1" t="s">
        <v>63</v>
      </c>
      <c r="G65" s="1" t="s">
        <v>32</v>
      </c>
      <c r="H65">
        <v>41.69</v>
      </c>
      <c r="I65">
        <v>44.83</v>
      </c>
      <c r="J65">
        <v>69700</v>
      </c>
      <c r="K65">
        <v>3712502</v>
      </c>
      <c r="L65">
        <v>17743195770</v>
      </c>
      <c r="M65">
        <v>0.35</v>
      </c>
      <c r="N65">
        <v>4779.3100000000004</v>
      </c>
      <c r="O65">
        <v>73.599999999999994</v>
      </c>
      <c r="P65" s="1" t="s">
        <v>33</v>
      </c>
      <c r="Q65" s="1" t="s">
        <v>34</v>
      </c>
      <c r="R65" s="1" t="s">
        <v>35</v>
      </c>
      <c r="S65" s="1" t="s">
        <v>36</v>
      </c>
      <c r="T65" s="1" t="s">
        <v>37</v>
      </c>
      <c r="U65">
        <v>53.3</v>
      </c>
      <c r="V65" s="1" t="s">
        <v>79</v>
      </c>
      <c r="W65" s="1" t="s">
        <v>35</v>
      </c>
      <c r="X65">
        <v>254565</v>
      </c>
      <c r="Y65" s="1" t="s">
        <v>46</v>
      </c>
      <c r="Z65" s="1" t="s">
        <v>80</v>
      </c>
      <c r="AA65">
        <v>3</v>
      </c>
      <c r="AB65" s="1" t="s">
        <v>478</v>
      </c>
      <c r="AC65" s="1" t="s">
        <v>483</v>
      </c>
      <c r="AD65" s="1" t="str">
        <f>IF(AC65="no", "", IF(A65="Australia", "Low-Density Developed Outlier", IF(A65="Liechtenstein", "Ultra-Wealthy Microstate", IF(A65="Monaco", "Extreme Density Microstate", IF(A65="Singapore", "High-Density City-State", "Unclassified Outlier")))))</f>
        <v/>
      </c>
    </row>
    <row r="66" spans="1:30" x14ac:dyDescent="0.35">
      <c r="A66" s="1" t="s">
        <v>213</v>
      </c>
      <c r="B66" s="1" t="s">
        <v>214</v>
      </c>
      <c r="C66" s="1" t="s">
        <v>88</v>
      </c>
      <c r="D66" s="1" t="s">
        <v>57</v>
      </c>
      <c r="E66">
        <v>8.73</v>
      </c>
      <c r="F66" s="1" t="s">
        <v>58</v>
      </c>
      <c r="G66" s="1" t="s">
        <v>59</v>
      </c>
      <c r="H66">
        <v>52.52</v>
      </c>
      <c r="I66">
        <v>13.4</v>
      </c>
      <c r="J66">
        <v>357588</v>
      </c>
      <c r="K66">
        <v>84079811</v>
      </c>
      <c r="L66">
        <v>3845630030824</v>
      </c>
      <c r="M66">
        <v>0.48</v>
      </c>
      <c r="N66">
        <v>45737.85</v>
      </c>
      <c r="O66">
        <v>80.900000000000006</v>
      </c>
      <c r="P66" s="1" t="s">
        <v>33</v>
      </c>
      <c r="Q66" s="1" t="s">
        <v>34</v>
      </c>
      <c r="R66" s="1" t="s">
        <v>35</v>
      </c>
      <c r="S66" s="1" t="s">
        <v>36</v>
      </c>
      <c r="T66" s="1" t="s">
        <v>44</v>
      </c>
      <c r="U66">
        <v>235.1</v>
      </c>
      <c r="V66" s="1" t="s">
        <v>45</v>
      </c>
      <c r="W66" s="1" t="s">
        <v>35</v>
      </c>
      <c r="X66">
        <v>10754360</v>
      </c>
      <c r="Y66" s="1" t="s">
        <v>47</v>
      </c>
      <c r="Z66" s="1" t="s">
        <v>47</v>
      </c>
      <c r="AA66">
        <v>2</v>
      </c>
      <c r="AB66" s="1" t="s">
        <v>479</v>
      </c>
      <c r="AC66" s="1" t="s">
        <v>483</v>
      </c>
      <c r="AD66" s="1" t="str">
        <f>IF(AC66="no", "", IF(A66="Australia", "Low-Density Developed Outlier", IF(A66="Liechtenstein", "Ultra-Wealthy Microstate", IF(A66="Monaco", "Extreme Density Microstate", IF(A66="Singapore", "High-Density City-State", "Unclassified Outlier")))))</f>
        <v/>
      </c>
    </row>
    <row r="67" spans="1:30" x14ac:dyDescent="0.35">
      <c r="A67" s="1" t="s">
        <v>215</v>
      </c>
      <c r="B67" s="1" t="s">
        <v>216</v>
      </c>
      <c r="C67" s="1" t="s">
        <v>50</v>
      </c>
      <c r="D67" s="1" t="s">
        <v>57</v>
      </c>
      <c r="E67">
        <v>6.24</v>
      </c>
      <c r="F67" s="1" t="s">
        <v>43</v>
      </c>
      <c r="G67" s="1" t="s">
        <v>32</v>
      </c>
      <c r="H67">
        <v>5.5461</v>
      </c>
      <c r="I67">
        <v>-0.20669999999999999</v>
      </c>
      <c r="J67">
        <v>238535</v>
      </c>
      <c r="K67">
        <v>33475870</v>
      </c>
      <c r="L67">
        <v>66983634224</v>
      </c>
      <c r="M67">
        <v>0.69</v>
      </c>
      <c r="N67">
        <v>2000.95</v>
      </c>
      <c r="O67">
        <v>63.8</v>
      </c>
      <c r="P67" s="1" t="s">
        <v>69</v>
      </c>
      <c r="Q67" s="1" t="s">
        <v>34</v>
      </c>
      <c r="R67" s="1" t="s">
        <v>36</v>
      </c>
      <c r="S67" s="1" t="s">
        <v>36</v>
      </c>
      <c r="T67" s="1" t="s">
        <v>51</v>
      </c>
      <c r="U67">
        <v>140.30000000000001</v>
      </c>
      <c r="V67" s="1" t="s">
        <v>130</v>
      </c>
      <c r="W67" s="1" t="s">
        <v>35</v>
      </c>
      <c r="X67">
        <v>280813</v>
      </c>
      <c r="Y67" s="1" t="s">
        <v>53</v>
      </c>
      <c r="Z67" s="1" t="s">
        <v>39</v>
      </c>
      <c r="AA67">
        <v>1</v>
      </c>
      <c r="AB67" s="1" t="s">
        <v>481</v>
      </c>
      <c r="AC67" s="1" t="s">
        <v>483</v>
      </c>
      <c r="AD67" s="1" t="str">
        <f>IF(AC67="no", "", IF(A67="Australia", "Low-Density Developed Outlier", IF(A67="Liechtenstein", "Ultra-Wealthy Microstate", IF(A67="Monaco", "Extreme Density Microstate", IF(A67="Singapore", "High-Density City-State", "Unclassified Outlier")))))</f>
        <v/>
      </c>
    </row>
    <row r="68" spans="1:30" x14ac:dyDescent="0.35">
      <c r="A68" s="1" t="s">
        <v>217</v>
      </c>
      <c r="B68" s="1" t="s">
        <v>218</v>
      </c>
      <c r="C68" s="1" t="s">
        <v>42</v>
      </c>
      <c r="D68" s="1" t="s">
        <v>57</v>
      </c>
      <c r="E68">
        <v>8.07</v>
      </c>
      <c r="F68" s="1" t="s">
        <v>58</v>
      </c>
      <c r="G68" s="1" t="s">
        <v>59</v>
      </c>
      <c r="H68">
        <v>37.984200000000001</v>
      </c>
      <c r="I68">
        <v>23.728100000000001</v>
      </c>
      <c r="J68">
        <v>131957</v>
      </c>
      <c r="K68">
        <v>10566531</v>
      </c>
      <c r="L68">
        <v>209852761469</v>
      </c>
      <c r="M68">
        <v>0.48</v>
      </c>
      <c r="N68">
        <v>19860.14</v>
      </c>
      <c r="O68">
        <v>81.3</v>
      </c>
      <c r="P68" s="1" t="s">
        <v>33</v>
      </c>
      <c r="Q68" s="1" t="s">
        <v>34</v>
      </c>
      <c r="R68" s="1" t="s">
        <v>35</v>
      </c>
      <c r="S68" s="1" t="s">
        <v>36</v>
      </c>
      <c r="T68" s="1" t="s">
        <v>44</v>
      </c>
      <c r="U68">
        <v>80.099999999999994</v>
      </c>
      <c r="V68" s="1" t="s">
        <v>219</v>
      </c>
      <c r="W68" s="1" t="s">
        <v>35</v>
      </c>
      <c r="X68">
        <v>1590312</v>
      </c>
      <c r="Y68" s="1" t="s">
        <v>47</v>
      </c>
      <c r="Z68" s="1" t="s">
        <v>47</v>
      </c>
      <c r="AA68">
        <v>2</v>
      </c>
      <c r="AB68" s="1" t="s">
        <v>479</v>
      </c>
      <c r="AC68" s="1" t="s">
        <v>483</v>
      </c>
      <c r="AD68" s="1" t="str">
        <f>IF(AC68="no", "", IF(A68="Australia", "Low-Density Developed Outlier", IF(A68="Liechtenstein", "Ultra-Wealthy Microstate", IF(A68="Monaco", "Extreme Density Microstate", IF(A68="Singapore", "High-Density City-State", "Unclassified Outlier")))))</f>
        <v/>
      </c>
    </row>
    <row r="69" spans="1:30" x14ac:dyDescent="0.35">
      <c r="A69" s="1" t="s">
        <v>220</v>
      </c>
      <c r="B69" s="1" t="s">
        <v>221</v>
      </c>
      <c r="C69" s="1" t="s">
        <v>68</v>
      </c>
      <c r="D69" s="1" t="s">
        <v>57</v>
      </c>
      <c r="E69">
        <v>5.32</v>
      </c>
      <c r="F69" s="1" t="s">
        <v>63</v>
      </c>
      <c r="G69" s="1" t="s">
        <v>32</v>
      </c>
      <c r="H69">
        <v>12.0444</v>
      </c>
      <c r="I69">
        <v>-61.741700000000002</v>
      </c>
      <c r="J69">
        <v>349</v>
      </c>
      <c r="K69">
        <v>125438</v>
      </c>
      <c r="L69">
        <v>1228170370</v>
      </c>
      <c r="M69">
        <v>0.24</v>
      </c>
      <c r="N69">
        <v>9791.06</v>
      </c>
      <c r="O69">
        <v>72.400000000000006</v>
      </c>
      <c r="P69" s="1" t="s">
        <v>69</v>
      </c>
      <c r="Q69" s="1" t="s">
        <v>34</v>
      </c>
      <c r="R69" s="1" t="s">
        <v>36</v>
      </c>
      <c r="S69" s="1" t="s">
        <v>36</v>
      </c>
      <c r="T69" s="1" t="s">
        <v>70</v>
      </c>
      <c r="U69">
        <v>359.4</v>
      </c>
      <c r="V69" s="1" t="s">
        <v>71</v>
      </c>
      <c r="W69" s="1" t="s">
        <v>35</v>
      </c>
      <c r="X69">
        <v>3519113</v>
      </c>
      <c r="Y69" s="1" t="s">
        <v>46</v>
      </c>
      <c r="Z69" s="1" t="s">
        <v>80</v>
      </c>
      <c r="AA69">
        <v>0</v>
      </c>
      <c r="AB69" s="1" t="s">
        <v>480</v>
      </c>
      <c r="AC69" s="1" t="s">
        <v>483</v>
      </c>
      <c r="AD69" s="1" t="str">
        <f>IF(AC69="no", "", IF(A69="Australia", "Low-Density Developed Outlier", IF(A69="Liechtenstein", "Ultra-Wealthy Microstate", IF(A69="Monaco", "Extreme Density Microstate", IF(A69="Singapore", "High-Density City-State", "Unclassified Outlier")))))</f>
        <v/>
      </c>
    </row>
    <row r="70" spans="1:30" x14ac:dyDescent="0.35">
      <c r="A70" s="1" t="s">
        <v>222</v>
      </c>
      <c r="B70" s="1" t="s">
        <v>223</v>
      </c>
      <c r="C70" s="1" t="s">
        <v>50</v>
      </c>
      <c r="D70" s="1" t="s">
        <v>57</v>
      </c>
      <c r="E70">
        <v>4.55</v>
      </c>
      <c r="F70" s="1" t="s">
        <v>63</v>
      </c>
      <c r="G70" s="1" t="s">
        <v>32</v>
      </c>
      <c r="H70">
        <v>14.6099</v>
      </c>
      <c r="I70">
        <v>-90.525300000000001</v>
      </c>
      <c r="J70">
        <v>108889</v>
      </c>
      <c r="K70">
        <v>17357886</v>
      </c>
      <c r="L70">
        <v>76710385880</v>
      </c>
      <c r="M70">
        <v>0.36</v>
      </c>
      <c r="N70">
        <v>4419.34</v>
      </c>
      <c r="O70">
        <v>74.099999999999994</v>
      </c>
      <c r="P70" s="1" t="s">
        <v>69</v>
      </c>
      <c r="Q70" s="1" t="s">
        <v>34</v>
      </c>
      <c r="R70" s="1" t="s">
        <v>36</v>
      </c>
      <c r="S70" s="1" t="s">
        <v>36</v>
      </c>
      <c r="T70" s="1" t="s">
        <v>70</v>
      </c>
      <c r="U70">
        <v>159.4</v>
      </c>
      <c r="V70" s="1" t="s">
        <v>71</v>
      </c>
      <c r="W70" s="1" t="s">
        <v>35</v>
      </c>
      <c r="X70">
        <v>704482</v>
      </c>
      <c r="Y70" s="1" t="s">
        <v>46</v>
      </c>
      <c r="Z70" s="1" t="s">
        <v>80</v>
      </c>
      <c r="AA70">
        <v>0</v>
      </c>
      <c r="AB70" s="1" t="s">
        <v>480</v>
      </c>
      <c r="AC70" s="1" t="s">
        <v>483</v>
      </c>
      <c r="AD70" s="1" t="str">
        <f>IF(AC70="no", "", IF(A70="Australia", "Low-Density Developed Outlier", IF(A70="Liechtenstein", "Ultra-Wealthy Microstate", IF(A70="Monaco", "Extreme Density Microstate", IF(A70="Singapore", "High-Density City-State", "Unclassified Outlier")))))</f>
        <v/>
      </c>
    </row>
    <row r="71" spans="1:30" x14ac:dyDescent="0.35">
      <c r="A71" s="1" t="s">
        <v>224</v>
      </c>
      <c r="B71" s="1" t="s">
        <v>225</v>
      </c>
      <c r="C71" s="1" t="s">
        <v>129</v>
      </c>
      <c r="D71" s="1" t="s">
        <v>30</v>
      </c>
      <c r="E71">
        <v>2.04</v>
      </c>
      <c r="F71" s="1" t="s">
        <v>31</v>
      </c>
      <c r="G71" s="1" t="s">
        <v>32</v>
      </c>
      <c r="H71">
        <v>9.64</v>
      </c>
      <c r="I71">
        <v>-13.58</v>
      </c>
      <c r="J71">
        <v>245857</v>
      </c>
      <c r="K71">
        <v>13859341</v>
      </c>
      <c r="L71">
        <v>13590281809</v>
      </c>
      <c r="M71">
        <v>0.59</v>
      </c>
      <c r="N71">
        <v>980.59</v>
      </c>
      <c r="O71">
        <v>61.2</v>
      </c>
      <c r="P71" s="1" t="s">
        <v>69</v>
      </c>
      <c r="Q71" s="1" t="s">
        <v>34</v>
      </c>
      <c r="R71" s="1" t="s">
        <v>36</v>
      </c>
      <c r="S71" s="1" t="s">
        <v>36</v>
      </c>
      <c r="T71" s="1" t="s">
        <v>51</v>
      </c>
      <c r="U71">
        <v>56.4</v>
      </c>
      <c r="V71" s="1" t="s">
        <v>130</v>
      </c>
      <c r="W71" s="1" t="s">
        <v>35</v>
      </c>
      <c r="X71">
        <v>55277</v>
      </c>
      <c r="Y71" s="1" t="s">
        <v>39</v>
      </c>
      <c r="Z71" s="1" t="s">
        <v>39</v>
      </c>
      <c r="AA71">
        <v>1</v>
      </c>
      <c r="AB71" s="1" t="s">
        <v>481</v>
      </c>
      <c r="AC71" s="1" t="s">
        <v>483</v>
      </c>
      <c r="AD71" s="1" t="str">
        <f>IF(AC71="no", "", IF(A71="Australia", "Low-Density Developed Outlier", IF(A71="Liechtenstein", "Ultra-Wealthy Microstate", IF(A71="Monaco", "Extreme Density Microstate", IF(A71="Singapore", "High-Density City-State", "Unclassified Outlier")))))</f>
        <v/>
      </c>
    </row>
    <row r="72" spans="1:30" x14ac:dyDescent="0.35">
      <c r="A72" s="1" t="s">
        <v>226</v>
      </c>
      <c r="B72" s="1" t="s">
        <v>227</v>
      </c>
      <c r="C72" s="1" t="s">
        <v>135</v>
      </c>
      <c r="D72" s="1" t="s">
        <v>30</v>
      </c>
      <c r="E72">
        <v>2.0299999999999998</v>
      </c>
      <c r="F72" s="1" t="s">
        <v>31</v>
      </c>
      <c r="G72" s="1" t="s">
        <v>32</v>
      </c>
      <c r="H72">
        <v>11.86</v>
      </c>
      <c r="I72">
        <v>-15.6</v>
      </c>
      <c r="J72">
        <v>36125</v>
      </c>
      <c r="K72">
        <v>2105566</v>
      </c>
      <c r="L72">
        <v>1340389411</v>
      </c>
      <c r="M72">
        <v>0.57999999999999996</v>
      </c>
      <c r="N72">
        <v>636.59</v>
      </c>
      <c r="O72">
        <v>58</v>
      </c>
      <c r="P72" s="1" t="s">
        <v>69</v>
      </c>
      <c r="Q72" s="1" t="s">
        <v>34</v>
      </c>
      <c r="R72" s="1" t="s">
        <v>36</v>
      </c>
      <c r="S72" s="1" t="s">
        <v>36</v>
      </c>
      <c r="T72" s="1" t="s">
        <v>51</v>
      </c>
      <c r="U72">
        <v>58.3</v>
      </c>
      <c r="V72" s="1" t="s">
        <v>130</v>
      </c>
      <c r="W72" s="1" t="s">
        <v>35</v>
      </c>
      <c r="X72">
        <v>37104</v>
      </c>
      <c r="Y72" s="1" t="s">
        <v>39</v>
      </c>
      <c r="Z72" s="1" t="s">
        <v>39</v>
      </c>
      <c r="AA72">
        <v>1</v>
      </c>
      <c r="AB72" s="1" t="s">
        <v>481</v>
      </c>
      <c r="AC72" s="1" t="s">
        <v>483</v>
      </c>
      <c r="AD72" s="1" t="str">
        <f>IF(AC72="no", "", IF(A72="Australia", "Low-Density Developed Outlier", IF(A72="Liechtenstein", "Ultra-Wealthy Microstate", IF(A72="Monaco", "Extreme Density Microstate", IF(A72="Singapore", "High-Density City-State", "Unclassified Outlier")))))</f>
        <v/>
      </c>
    </row>
    <row r="73" spans="1:30" x14ac:dyDescent="0.35">
      <c r="A73" s="1" t="s">
        <v>228</v>
      </c>
      <c r="B73" s="1" t="s">
        <v>229</v>
      </c>
      <c r="C73" s="1" t="s">
        <v>42</v>
      </c>
      <c r="D73" s="1" t="s">
        <v>57</v>
      </c>
      <c r="E73">
        <v>6.11</v>
      </c>
      <c r="F73" s="1" t="s">
        <v>43</v>
      </c>
      <c r="G73" s="1" t="s">
        <v>32</v>
      </c>
      <c r="H73">
        <v>6.8057999999999996</v>
      </c>
      <c r="I73">
        <v>-58.150799999999997</v>
      </c>
      <c r="J73">
        <v>214970</v>
      </c>
      <c r="K73">
        <v>808726</v>
      </c>
      <c r="L73">
        <v>4280443645</v>
      </c>
      <c r="M73">
        <v>0.09</v>
      </c>
      <c r="N73">
        <v>5292.82</v>
      </c>
      <c r="O73">
        <v>69.8</v>
      </c>
      <c r="P73" s="1" t="s">
        <v>69</v>
      </c>
      <c r="Q73" s="1" t="s">
        <v>34</v>
      </c>
      <c r="R73" s="1" t="s">
        <v>36</v>
      </c>
      <c r="S73" s="1" t="s">
        <v>35</v>
      </c>
      <c r="T73" s="1" t="s">
        <v>75</v>
      </c>
      <c r="U73">
        <v>3.8</v>
      </c>
      <c r="V73" s="1" t="s">
        <v>155</v>
      </c>
      <c r="W73" s="1" t="s">
        <v>35</v>
      </c>
      <c r="X73">
        <v>19912</v>
      </c>
      <c r="Y73" s="1" t="s">
        <v>46</v>
      </c>
      <c r="Z73" s="1" t="s">
        <v>80</v>
      </c>
      <c r="AA73">
        <v>0</v>
      </c>
      <c r="AB73" s="1" t="s">
        <v>480</v>
      </c>
      <c r="AC73" s="1" t="s">
        <v>483</v>
      </c>
      <c r="AD73" s="1" t="str">
        <f>IF(AC73="no", "", IF(A73="Australia", "Low-Density Developed Outlier", IF(A73="Liechtenstein", "Ultra-Wealthy Microstate", IF(A73="Monaco", "Extreme Density Microstate", IF(A73="Singapore", "High-Density City-State", "Unclassified Outlier")))))</f>
        <v/>
      </c>
    </row>
    <row r="74" spans="1:30" x14ac:dyDescent="0.35">
      <c r="A74" s="1" t="s">
        <v>230</v>
      </c>
      <c r="B74" s="1" t="s">
        <v>231</v>
      </c>
      <c r="C74" s="1" t="s">
        <v>135</v>
      </c>
      <c r="D74" s="1" t="s">
        <v>57</v>
      </c>
      <c r="E74">
        <v>2.74</v>
      </c>
      <c r="F74" s="1" t="s">
        <v>31</v>
      </c>
      <c r="G74" s="1" t="s">
        <v>32</v>
      </c>
      <c r="H74">
        <v>18.5425</v>
      </c>
      <c r="I74">
        <v>-72.3386</v>
      </c>
      <c r="J74">
        <v>27750</v>
      </c>
      <c r="K74">
        <v>11584996</v>
      </c>
      <c r="L74">
        <v>8498981821</v>
      </c>
      <c r="M74">
        <v>0.67</v>
      </c>
      <c r="N74">
        <v>733.62</v>
      </c>
      <c r="O74">
        <v>63.7</v>
      </c>
      <c r="P74" s="1" t="s">
        <v>69</v>
      </c>
      <c r="Q74" s="1" t="s">
        <v>34</v>
      </c>
      <c r="R74" s="1" t="s">
        <v>36</v>
      </c>
      <c r="S74" s="1" t="s">
        <v>36</v>
      </c>
      <c r="T74" s="1" t="s">
        <v>70</v>
      </c>
      <c r="U74">
        <v>417.5</v>
      </c>
      <c r="V74" s="1" t="s">
        <v>71</v>
      </c>
      <c r="W74" s="1" t="s">
        <v>35</v>
      </c>
      <c r="X74">
        <v>306270</v>
      </c>
      <c r="Y74" s="1" t="s">
        <v>39</v>
      </c>
      <c r="Z74" s="1" t="s">
        <v>39</v>
      </c>
      <c r="AA74">
        <v>1</v>
      </c>
      <c r="AB74" s="1" t="s">
        <v>481</v>
      </c>
      <c r="AC74" s="1" t="s">
        <v>483</v>
      </c>
      <c r="AD74" s="1" t="str">
        <f>IF(AC74="no", "", IF(A74="Australia", "Low-Density Developed Outlier", IF(A74="Liechtenstein", "Ultra-Wealthy Microstate", IF(A74="Monaco", "Extreme Density Microstate", IF(A74="Singapore", "High-Density City-State", "Unclassified Outlier")))))</f>
        <v/>
      </c>
    </row>
    <row r="75" spans="1:30" x14ac:dyDescent="0.35">
      <c r="A75" s="1" t="s">
        <v>232</v>
      </c>
      <c r="B75" s="1" t="s">
        <v>233</v>
      </c>
      <c r="C75" s="1" t="s">
        <v>50</v>
      </c>
      <c r="D75" s="1" t="s">
        <v>57</v>
      </c>
      <c r="E75">
        <v>4.9800000000000004</v>
      </c>
      <c r="F75" s="1" t="s">
        <v>63</v>
      </c>
      <c r="G75" s="1" t="s">
        <v>32</v>
      </c>
      <c r="H75">
        <v>14.105700000000001</v>
      </c>
      <c r="I75">
        <v>-87.203999999999994</v>
      </c>
      <c r="J75">
        <v>112492</v>
      </c>
      <c r="K75">
        <v>10432860</v>
      </c>
      <c r="L75">
        <v>25095395475</v>
      </c>
      <c r="M75">
        <v>0.28999999999999998</v>
      </c>
      <c r="N75">
        <v>2405.42</v>
      </c>
      <c r="O75">
        <v>75.099999999999994</v>
      </c>
      <c r="P75" s="1" t="s">
        <v>69</v>
      </c>
      <c r="Q75" s="1" t="s">
        <v>34</v>
      </c>
      <c r="R75" s="1" t="s">
        <v>36</v>
      </c>
      <c r="S75" s="1" t="s">
        <v>36</v>
      </c>
      <c r="T75" s="1" t="s">
        <v>70</v>
      </c>
      <c r="U75">
        <v>92.7</v>
      </c>
      <c r="V75" s="1" t="s">
        <v>71</v>
      </c>
      <c r="W75" s="1" t="s">
        <v>35</v>
      </c>
      <c r="X75">
        <v>223086</v>
      </c>
      <c r="Y75" s="1" t="s">
        <v>53</v>
      </c>
      <c r="Z75" s="1" t="s">
        <v>47</v>
      </c>
      <c r="AA75">
        <v>0</v>
      </c>
      <c r="AB75" s="1" t="s">
        <v>480</v>
      </c>
      <c r="AC75" s="1" t="s">
        <v>483</v>
      </c>
      <c r="AD75" s="1" t="str">
        <f>IF(AC75="no", "", IF(A75="Australia", "Low-Density Developed Outlier", IF(A75="Liechtenstein", "Ultra-Wealthy Microstate", IF(A75="Monaco", "Extreme Density Microstate", IF(A75="Singapore", "High-Density City-State", "Unclassified Outlier")))))</f>
        <v/>
      </c>
    </row>
    <row r="76" spans="1:30" x14ac:dyDescent="0.35">
      <c r="A76" s="1" t="s">
        <v>234</v>
      </c>
      <c r="B76" s="1" t="s">
        <v>235</v>
      </c>
      <c r="C76" s="1" t="s">
        <v>42</v>
      </c>
      <c r="D76" s="1" t="s">
        <v>57</v>
      </c>
      <c r="E76">
        <v>6.51</v>
      </c>
      <c r="F76" s="1" t="s">
        <v>43</v>
      </c>
      <c r="G76" s="1" t="s">
        <v>32</v>
      </c>
      <c r="H76">
        <v>47.5</v>
      </c>
      <c r="I76">
        <v>19.04</v>
      </c>
      <c r="J76">
        <v>93011</v>
      </c>
      <c r="K76">
        <v>9683505</v>
      </c>
      <c r="L76">
        <v>160967157504</v>
      </c>
      <c r="M76">
        <v>0.57999999999999996</v>
      </c>
      <c r="N76">
        <v>16622.82</v>
      </c>
      <c r="O76">
        <v>75.8</v>
      </c>
      <c r="P76" s="1" t="s">
        <v>33</v>
      </c>
      <c r="Q76" s="1" t="s">
        <v>34</v>
      </c>
      <c r="R76" s="1" t="s">
        <v>35</v>
      </c>
      <c r="S76" s="1" t="s">
        <v>36</v>
      </c>
      <c r="T76" s="1" t="s">
        <v>44</v>
      </c>
      <c r="U76">
        <v>104.1</v>
      </c>
      <c r="V76" s="1" t="s">
        <v>45</v>
      </c>
      <c r="W76" s="1" t="s">
        <v>36</v>
      </c>
      <c r="X76">
        <v>1730625</v>
      </c>
      <c r="Y76" s="1" t="s">
        <v>47</v>
      </c>
      <c r="Z76" s="1" t="s">
        <v>47</v>
      </c>
      <c r="AA76">
        <v>3</v>
      </c>
      <c r="AB76" s="1" t="s">
        <v>478</v>
      </c>
      <c r="AC76" s="1" t="s">
        <v>483</v>
      </c>
      <c r="AD76" s="1" t="str">
        <f>IF(AC76="no", "", IF(A76="Australia", "Low-Density Developed Outlier", IF(A76="Liechtenstein", "Ultra-Wealthy Microstate", IF(A76="Monaco", "Extreme Density Microstate", IF(A76="Singapore", "High-Density City-State", "Unclassified Outlier")))))</f>
        <v/>
      </c>
    </row>
    <row r="77" spans="1:30" x14ac:dyDescent="0.35">
      <c r="A77" s="1" t="s">
        <v>236</v>
      </c>
      <c r="B77" s="1" t="s">
        <v>237</v>
      </c>
      <c r="C77" s="1" t="s">
        <v>42</v>
      </c>
      <c r="D77" s="1" t="s">
        <v>57</v>
      </c>
      <c r="E77">
        <v>9.3800000000000008</v>
      </c>
      <c r="F77" s="1" t="s">
        <v>58</v>
      </c>
      <c r="G77" s="1" t="s">
        <v>59</v>
      </c>
      <c r="H77">
        <v>64.147499999999994</v>
      </c>
      <c r="I77">
        <v>-21.934999999999999</v>
      </c>
      <c r="J77">
        <v>103004</v>
      </c>
      <c r="K77">
        <v>381900</v>
      </c>
      <c r="L77">
        <v>24188035739</v>
      </c>
      <c r="M77">
        <v>0.19</v>
      </c>
      <c r="N77">
        <v>63336.05</v>
      </c>
      <c r="O77">
        <v>82.7</v>
      </c>
      <c r="P77" s="1" t="s">
        <v>69</v>
      </c>
      <c r="Q77" s="1" t="s">
        <v>34</v>
      </c>
      <c r="R77" s="1" t="s">
        <v>35</v>
      </c>
      <c r="S77" s="1" t="s">
        <v>35</v>
      </c>
      <c r="T77" s="1" t="s">
        <v>44</v>
      </c>
      <c r="U77">
        <v>3.7</v>
      </c>
      <c r="V77" s="1" t="s">
        <v>60</v>
      </c>
      <c r="W77" s="1" t="s">
        <v>35</v>
      </c>
      <c r="X77">
        <v>234826</v>
      </c>
      <c r="Y77" s="1" t="s">
        <v>47</v>
      </c>
      <c r="Z77" s="1" t="s">
        <v>47</v>
      </c>
      <c r="AA77">
        <v>2</v>
      </c>
      <c r="AB77" s="1" t="s">
        <v>479</v>
      </c>
      <c r="AC77" s="1" t="s">
        <v>483</v>
      </c>
      <c r="AD77" s="1" t="str">
        <f>IF(AC77="no", "", IF(A77="Australia", "Low-Density Developed Outlier", IF(A77="Liechtenstein", "Ultra-Wealthy Microstate", IF(A77="Monaco", "Extreme Density Microstate", IF(A77="Singapore", "High-Density City-State", "Unclassified Outlier")))))</f>
        <v/>
      </c>
    </row>
    <row r="78" spans="1:30" x14ac:dyDescent="0.35">
      <c r="A78" s="1" t="s">
        <v>238</v>
      </c>
      <c r="B78" s="1" t="s">
        <v>239</v>
      </c>
      <c r="C78" s="1" t="s">
        <v>88</v>
      </c>
      <c r="D78" s="1" t="s">
        <v>240</v>
      </c>
      <c r="E78">
        <v>7.29</v>
      </c>
      <c r="F78" s="1" t="s">
        <v>43</v>
      </c>
      <c r="G78" s="1" t="s">
        <v>32</v>
      </c>
      <c r="H78">
        <v>28.613900000000001</v>
      </c>
      <c r="I78">
        <v>77.209000000000003</v>
      </c>
      <c r="J78">
        <v>3287263</v>
      </c>
      <c r="K78">
        <v>1417173173</v>
      </c>
      <c r="L78">
        <v>2611000000000</v>
      </c>
      <c r="M78">
        <v>0.6</v>
      </c>
      <c r="N78">
        <v>1842.4</v>
      </c>
      <c r="O78">
        <v>69.400000000000006</v>
      </c>
      <c r="P78" s="1" t="s">
        <v>33</v>
      </c>
      <c r="Q78" s="1" t="s">
        <v>34</v>
      </c>
      <c r="R78" s="1" t="s">
        <v>35</v>
      </c>
      <c r="S78" s="1" t="s">
        <v>36</v>
      </c>
      <c r="T78" s="1" t="s">
        <v>37</v>
      </c>
      <c r="U78">
        <v>431.1</v>
      </c>
      <c r="V78" s="1" t="s">
        <v>38</v>
      </c>
      <c r="W78" s="1" t="s">
        <v>35</v>
      </c>
      <c r="X78">
        <v>794278</v>
      </c>
      <c r="Y78" s="1" t="s">
        <v>53</v>
      </c>
      <c r="Z78" s="1" t="s">
        <v>80</v>
      </c>
      <c r="AA78">
        <v>3</v>
      </c>
      <c r="AB78" s="1" t="s">
        <v>478</v>
      </c>
      <c r="AC78" s="1" t="s">
        <v>483</v>
      </c>
      <c r="AD78" s="1" t="str">
        <f>IF(AC78="no", "", IF(A78="Australia", "Low-Density Developed Outlier", IF(A78="Liechtenstein", "Ultra-Wealthy Microstate", IF(A78="Monaco", "Extreme Density Microstate", IF(A78="Singapore", "High-Density City-State", "Unclassified Outlier")))))</f>
        <v/>
      </c>
    </row>
    <row r="79" spans="1:30" x14ac:dyDescent="0.35">
      <c r="A79" s="1" t="s">
        <v>241</v>
      </c>
      <c r="B79" s="1" t="s">
        <v>242</v>
      </c>
      <c r="C79" s="1" t="s">
        <v>50</v>
      </c>
      <c r="D79" s="1" t="s">
        <v>30</v>
      </c>
      <c r="E79">
        <v>6.44</v>
      </c>
      <c r="F79" s="1" t="s">
        <v>43</v>
      </c>
      <c r="G79" s="1" t="s">
        <v>32</v>
      </c>
      <c r="H79">
        <v>-6.21</v>
      </c>
      <c r="I79">
        <v>106.85</v>
      </c>
      <c r="J79">
        <v>1904570</v>
      </c>
      <c r="K79">
        <v>275501339</v>
      </c>
      <c r="L79">
        <v>1119190780753</v>
      </c>
      <c r="M79">
        <v>0.32</v>
      </c>
      <c r="N79">
        <v>4062.38</v>
      </c>
      <c r="O79">
        <v>71.5</v>
      </c>
      <c r="P79" s="1" t="s">
        <v>33</v>
      </c>
      <c r="Q79" s="1" t="s">
        <v>64</v>
      </c>
      <c r="R79" s="1" t="s">
        <v>36</v>
      </c>
      <c r="S79" s="1" t="s">
        <v>36</v>
      </c>
      <c r="T79" s="1" t="s">
        <v>37</v>
      </c>
      <c r="U79">
        <v>144.69999999999999</v>
      </c>
      <c r="V79" s="1" t="s">
        <v>124</v>
      </c>
      <c r="W79" s="1" t="s">
        <v>35</v>
      </c>
      <c r="X79">
        <v>587634</v>
      </c>
      <c r="Y79" s="1" t="s">
        <v>46</v>
      </c>
      <c r="Z79" s="1" t="s">
        <v>80</v>
      </c>
      <c r="AA79">
        <v>0</v>
      </c>
      <c r="AB79" s="1" t="s">
        <v>480</v>
      </c>
      <c r="AC79" s="1" t="s">
        <v>483</v>
      </c>
      <c r="AD79" s="1" t="str">
        <f>IF(AC79="no", "", IF(A79="Australia", "Low-Density Developed Outlier", IF(A79="Liechtenstein", "Ultra-Wealthy Microstate", IF(A79="Monaco", "Extreme Density Microstate", IF(A79="Singapore", "High-Density City-State", "Unclassified Outlier")))))</f>
        <v/>
      </c>
    </row>
    <row r="80" spans="1:30" x14ac:dyDescent="0.35">
      <c r="A80" s="1" t="s">
        <v>243</v>
      </c>
      <c r="B80" s="1" t="s">
        <v>244</v>
      </c>
      <c r="C80" s="1" t="s">
        <v>245</v>
      </c>
      <c r="D80" s="1" t="s">
        <v>30</v>
      </c>
      <c r="E80">
        <v>1.96</v>
      </c>
      <c r="F80" s="1" t="s">
        <v>31</v>
      </c>
      <c r="G80" s="1" t="s">
        <v>32</v>
      </c>
      <c r="H80">
        <v>35.688899999999997</v>
      </c>
      <c r="I80">
        <v>51.389699999999998</v>
      </c>
      <c r="J80">
        <v>1648195</v>
      </c>
      <c r="K80">
        <v>88550570</v>
      </c>
      <c r="L80">
        <v>445345282123</v>
      </c>
      <c r="M80">
        <v>0.28000000000000003</v>
      </c>
      <c r="N80">
        <v>5029.28</v>
      </c>
      <c r="O80">
        <v>76.5</v>
      </c>
      <c r="P80" s="1" t="s">
        <v>33</v>
      </c>
      <c r="Q80" s="1" t="s">
        <v>34</v>
      </c>
      <c r="R80" s="1" t="s">
        <v>35</v>
      </c>
      <c r="S80" s="1" t="s">
        <v>36</v>
      </c>
      <c r="T80" s="1" t="s">
        <v>37</v>
      </c>
      <c r="U80">
        <v>53.7</v>
      </c>
      <c r="V80" s="1" t="s">
        <v>79</v>
      </c>
      <c r="W80" s="1" t="s">
        <v>35</v>
      </c>
      <c r="X80">
        <v>270202</v>
      </c>
      <c r="Y80" s="1" t="s">
        <v>46</v>
      </c>
      <c r="Z80" s="1" t="s">
        <v>47</v>
      </c>
      <c r="AA80">
        <v>3</v>
      </c>
      <c r="AB80" s="1" t="s">
        <v>478</v>
      </c>
      <c r="AC80" s="1" t="s">
        <v>483</v>
      </c>
      <c r="AD80" s="1" t="str">
        <f>IF(AC80="no", "", IF(A80="Australia", "Low-Density Developed Outlier", IF(A80="Liechtenstein", "Ultra-Wealthy Microstate", IF(A80="Monaco", "Extreme Density Microstate", IF(A80="Singapore", "High-Density City-State", "Unclassified Outlier")))))</f>
        <v/>
      </c>
    </row>
    <row r="81" spans="1:30" x14ac:dyDescent="0.35">
      <c r="A81" s="1" t="s">
        <v>246</v>
      </c>
      <c r="B81" s="1" t="s">
        <v>247</v>
      </c>
      <c r="C81" s="1" t="s">
        <v>88</v>
      </c>
      <c r="D81" s="1" t="s">
        <v>30</v>
      </c>
      <c r="E81">
        <v>2.8</v>
      </c>
      <c r="F81" s="1" t="s">
        <v>31</v>
      </c>
      <c r="G81" s="1" t="s">
        <v>32</v>
      </c>
      <c r="H81">
        <v>33.315300000000001</v>
      </c>
      <c r="I81">
        <v>44.366100000000003</v>
      </c>
      <c r="J81">
        <v>437072</v>
      </c>
      <c r="K81">
        <v>44496122</v>
      </c>
      <c r="L81">
        <v>234094042939</v>
      </c>
      <c r="M81">
        <v>0.21</v>
      </c>
      <c r="N81">
        <v>5261</v>
      </c>
      <c r="O81">
        <v>70.5</v>
      </c>
      <c r="P81" s="1" t="s">
        <v>33</v>
      </c>
      <c r="Q81" s="1" t="s">
        <v>34</v>
      </c>
      <c r="R81" s="1" t="s">
        <v>35</v>
      </c>
      <c r="S81" s="1" t="s">
        <v>36</v>
      </c>
      <c r="T81" s="1" t="s">
        <v>37</v>
      </c>
      <c r="U81">
        <v>101.8</v>
      </c>
      <c r="V81" s="1" t="s">
        <v>79</v>
      </c>
      <c r="W81" s="1" t="s">
        <v>35</v>
      </c>
      <c r="X81">
        <v>535596</v>
      </c>
      <c r="Y81" s="1" t="s">
        <v>46</v>
      </c>
      <c r="Z81" s="1" t="s">
        <v>80</v>
      </c>
      <c r="AA81">
        <v>0</v>
      </c>
      <c r="AB81" s="1" t="s">
        <v>480</v>
      </c>
      <c r="AC81" s="1" t="s">
        <v>483</v>
      </c>
      <c r="AD81" s="1" t="str">
        <f>IF(AC81="no", "", IF(A81="Australia", "Low-Density Developed Outlier", IF(A81="Liechtenstein", "Ultra-Wealthy Microstate", IF(A81="Monaco", "Extreme Density Microstate", IF(A81="Singapore", "High-Density City-State", "Unclassified Outlier")))))</f>
        <v/>
      </c>
    </row>
    <row r="82" spans="1:30" x14ac:dyDescent="0.35">
      <c r="A82" s="1" t="s">
        <v>248</v>
      </c>
      <c r="B82" s="1" t="s">
        <v>249</v>
      </c>
      <c r="C82" s="1" t="s">
        <v>42</v>
      </c>
      <c r="D82" s="1" t="s">
        <v>57</v>
      </c>
      <c r="E82">
        <v>9.19</v>
      </c>
      <c r="F82" s="1" t="s">
        <v>58</v>
      </c>
      <c r="G82" s="1" t="s">
        <v>59</v>
      </c>
      <c r="H82">
        <v>53.349699999999999</v>
      </c>
      <c r="I82">
        <v>-6.2603</v>
      </c>
      <c r="J82">
        <v>69797</v>
      </c>
      <c r="K82">
        <v>5086988</v>
      </c>
      <c r="L82">
        <v>388698711348</v>
      </c>
      <c r="M82">
        <v>0.65</v>
      </c>
      <c r="N82">
        <v>76410.38</v>
      </c>
      <c r="O82">
        <v>82.3</v>
      </c>
      <c r="P82" s="1" t="s">
        <v>69</v>
      </c>
      <c r="Q82" s="1" t="s">
        <v>34</v>
      </c>
      <c r="R82" s="1" t="s">
        <v>35</v>
      </c>
      <c r="S82" s="1" t="s">
        <v>36</v>
      </c>
      <c r="T82" s="1" t="s">
        <v>44</v>
      </c>
      <c r="U82">
        <v>72.900000000000006</v>
      </c>
      <c r="V82" s="1" t="s">
        <v>60</v>
      </c>
      <c r="W82" s="1" t="s">
        <v>35</v>
      </c>
      <c r="X82">
        <v>5568989</v>
      </c>
      <c r="Y82" s="1" t="s">
        <v>47</v>
      </c>
      <c r="Z82" s="1" t="s">
        <v>47</v>
      </c>
      <c r="AA82">
        <v>2</v>
      </c>
      <c r="AB82" s="1" t="s">
        <v>479</v>
      </c>
      <c r="AC82" s="1" t="s">
        <v>483</v>
      </c>
      <c r="AD82" s="1" t="str">
        <f>IF(AC82="no", "", IF(A82="Australia", "Low-Density Developed Outlier", IF(A82="Liechtenstein", "Ultra-Wealthy Microstate", IF(A82="Monaco", "Extreme Density Microstate", IF(A82="Singapore", "High-Density City-State", "Unclassified Outlier")))))</f>
        <v/>
      </c>
    </row>
    <row r="83" spans="1:30" x14ac:dyDescent="0.35">
      <c r="A83" s="1" t="s">
        <v>250</v>
      </c>
      <c r="B83" s="1" t="s">
        <v>251</v>
      </c>
      <c r="C83" s="1" t="s">
        <v>42</v>
      </c>
      <c r="D83" s="1" t="s">
        <v>252</v>
      </c>
      <c r="E83">
        <v>7.8</v>
      </c>
      <c r="F83" s="1" t="s">
        <v>43</v>
      </c>
      <c r="G83" s="1" t="s">
        <v>59</v>
      </c>
      <c r="H83">
        <v>31.7789</v>
      </c>
      <c r="I83">
        <v>35.2256</v>
      </c>
      <c r="J83">
        <v>20770</v>
      </c>
      <c r="K83">
        <v>9550600</v>
      </c>
      <c r="L83">
        <v>395098666122</v>
      </c>
      <c r="M83">
        <v>0.25</v>
      </c>
      <c r="N83">
        <v>41368.99</v>
      </c>
      <c r="O83">
        <v>82.8</v>
      </c>
      <c r="P83" s="1" t="s">
        <v>33</v>
      </c>
      <c r="Q83" s="1" t="s">
        <v>34</v>
      </c>
      <c r="R83" s="1" t="s">
        <v>35</v>
      </c>
      <c r="S83" s="1" t="s">
        <v>36</v>
      </c>
      <c r="T83" s="1" t="s">
        <v>37</v>
      </c>
      <c r="U83">
        <v>459.8</v>
      </c>
      <c r="V83" s="1" t="s">
        <v>79</v>
      </c>
      <c r="W83" s="1" t="s">
        <v>35</v>
      </c>
      <c r="X83">
        <v>19022565</v>
      </c>
      <c r="Y83" s="1" t="s">
        <v>47</v>
      </c>
      <c r="Z83" s="1" t="s">
        <v>47</v>
      </c>
      <c r="AA83">
        <v>2</v>
      </c>
      <c r="AB83" s="1" t="s">
        <v>479</v>
      </c>
      <c r="AC83" s="1" t="s">
        <v>483</v>
      </c>
      <c r="AD83" s="1" t="str">
        <f>IF(AC83="no", "", IF(A83="Australia", "Low-Density Developed Outlier", IF(A83="Liechtenstein", "Ultra-Wealthy Microstate", IF(A83="Monaco", "Extreme Density Microstate", IF(A83="Singapore", "High-Density City-State", "Unclassified Outlier")))))</f>
        <v/>
      </c>
    </row>
    <row r="84" spans="1:30" x14ac:dyDescent="0.35">
      <c r="A84" s="1" t="s">
        <v>253</v>
      </c>
      <c r="B84" s="1" t="s">
        <v>254</v>
      </c>
      <c r="C84" s="1" t="s">
        <v>42</v>
      </c>
      <c r="D84" s="1" t="s">
        <v>57</v>
      </c>
      <c r="E84">
        <v>7.58</v>
      </c>
      <c r="F84" s="1" t="s">
        <v>43</v>
      </c>
      <c r="G84" s="1" t="s">
        <v>59</v>
      </c>
      <c r="H84">
        <v>41.893099999999997</v>
      </c>
      <c r="I84">
        <v>12.482799999999999</v>
      </c>
      <c r="J84">
        <v>302068</v>
      </c>
      <c r="K84">
        <v>58856847</v>
      </c>
      <c r="L84">
        <v>2001244392042</v>
      </c>
      <c r="M84">
        <v>0.43</v>
      </c>
      <c r="N84">
        <v>34001.9</v>
      </c>
      <c r="O84">
        <v>82.9</v>
      </c>
      <c r="P84" s="1" t="s">
        <v>33</v>
      </c>
      <c r="Q84" s="1" t="s">
        <v>34</v>
      </c>
      <c r="R84" s="1" t="s">
        <v>35</v>
      </c>
      <c r="S84" s="1" t="s">
        <v>36</v>
      </c>
      <c r="T84" s="1" t="s">
        <v>44</v>
      </c>
      <c r="U84">
        <v>194.8</v>
      </c>
      <c r="V84" s="1" t="s">
        <v>45</v>
      </c>
      <c r="W84" s="1" t="s">
        <v>35</v>
      </c>
      <c r="X84">
        <v>6625145</v>
      </c>
      <c r="Y84" s="1" t="s">
        <v>47</v>
      </c>
      <c r="Z84" s="1" t="s">
        <v>47</v>
      </c>
      <c r="AA84">
        <v>2</v>
      </c>
      <c r="AB84" s="1" t="s">
        <v>479</v>
      </c>
      <c r="AC84" s="1" t="s">
        <v>483</v>
      </c>
      <c r="AD84" s="1" t="str">
        <f>IF(AC84="no", "", IF(A84="Australia", "Low-Density Developed Outlier", IF(A84="Liechtenstein", "Ultra-Wealthy Microstate", IF(A84="Monaco", "Extreme Density Microstate", IF(A84="Singapore", "High-Density City-State", "Unclassified Outlier")))))</f>
        <v/>
      </c>
    </row>
    <row r="85" spans="1:30" x14ac:dyDescent="0.35">
      <c r="A85" s="1" t="s">
        <v>255</v>
      </c>
      <c r="B85" s="1" t="s">
        <v>256</v>
      </c>
      <c r="C85" s="1" t="s">
        <v>68</v>
      </c>
      <c r="D85" s="1" t="s">
        <v>57</v>
      </c>
      <c r="E85">
        <v>6.74</v>
      </c>
      <c r="F85" s="1" t="s">
        <v>43</v>
      </c>
      <c r="G85" s="1" t="s">
        <v>32</v>
      </c>
      <c r="H85">
        <v>17.971399999999999</v>
      </c>
      <c r="I85">
        <v>-76.793099999999995</v>
      </c>
      <c r="J85">
        <v>10992</v>
      </c>
      <c r="K85">
        <v>2827377</v>
      </c>
      <c r="L85">
        <v>16458071068</v>
      </c>
      <c r="M85">
        <v>0.41</v>
      </c>
      <c r="N85">
        <v>5820.97</v>
      </c>
      <c r="O85">
        <v>74.400000000000006</v>
      </c>
      <c r="P85" s="1" t="s">
        <v>69</v>
      </c>
      <c r="Q85" s="1" t="s">
        <v>34</v>
      </c>
      <c r="R85" s="1" t="s">
        <v>36</v>
      </c>
      <c r="S85" s="1" t="s">
        <v>36</v>
      </c>
      <c r="T85" s="1" t="s">
        <v>70</v>
      </c>
      <c r="U85">
        <v>257.2</v>
      </c>
      <c r="V85" s="1" t="s">
        <v>71</v>
      </c>
      <c r="W85" s="1" t="s">
        <v>35</v>
      </c>
      <c r="X85">
        <v>1497277</v>
      </c>
      <c r="Y85" s="1" t="s">
        <v>46</v>
      </c>
      <c r="Z85" s="1" t="s">
        <v>80</v>
      </c>
      <c r="AA85">
        <v>0</v>
      </c>
      <c r="AB85" s="1" t="s">
        <v>480</v>
      </c>
      <c r="AC85" s="1" t="s">
        <v>483</v>
      </c>
      <c r="AD85" s="1" t="str">
        <f>IF(AC85="no", "", IF(A85="Australia", "Low-Density Developed Outlier", IF(A85="Liechtenstein", "Ultra-Wealthy Microstate", IF(A85="Monaco", "Extreme Density Microstate", IF(A85="Singapore", "High-Density City-State", "Unclassified Outlier")))))</f>
        <v/>
      </c>
    </row>
    <row r="86" spans="1:30" x14ac:dyDescent="0.35">
      <c r="A86" s="1" t="s">
        <v>257</v>
      </c>
      <c r="B86" s="1" t="s">
        <v>258</v>
      </c>
      <c r="C86" s="1" t="s">
        <v>68</v>
      </c>
      <c r="D86" s="1" t="s">
        <v>259</v>
      </c>
      <c r="E86">
        <v>8.48</v>
      </c>
      <c r="F86" s="1" t="s">
        <v>58</v>
      </c>
      <c r="G86" s="1" t="s">
        <v>59</v>
      </c>
      <c r="H86">
        <v>35.68</v>
      </c>
      <c r="I86">
        <v>139.69</v>
      </c>
      <c r="J86">
        <v>377972</v>
      </c>
      <c r="K86">
        <v>125124989</v>
      </c>
      <c r="L86">
        <v>5081769542380</v>
      </c>
      <c r="M86">
        <v>0.12</v>
      </c>
      <c r="N86">
        <v>40613.550000000003</v>
      </c>
      <c r="O86">
        <v>84.2</v>
      </c>
      <c r="P86" s="1" t="s">
        <v>33</v>
      </c>
      <c r="Q86" s="1" t="s">
        <v>34</v>
      </c>
      <c r="R86" s="1" t="s">
        <v>35</v>
      </c>
      <c r="S86" s="1" t="s">
        <v>35</v>
      </c>
      <c r="T86" s="1" t="s">
        <v>37</v>
      </c>
      <c r="U86">
        <v>331</v>
      </c>
      <c r="V86" s="1" t="s">
        <v>152</v>
      </c>
      <c r="W86" s="1" t="s">
        <v>35</v>
      </c>
      <c r="X86">
        <v>13444831</v>
      </c>
      <c r="Y86" s="1" t="s">
        <v>47</v>
      </c>
      <c r="Z86" s="1" t="s">
        <v>47</v>
      </c>
      <c r="AA86">
        <v>2</v>
      </c>
      <c r="AB86" s="1" t="s">
        <v>479</v>
      </c>
      <c r="AC86" s="1" t="s">
        <v>483</v>
      </c>
      <c r="AD86" s="1" t="str">
        <f>IF(AC86="no", "", IF(A86="Australia", "Low-Density Developed Outlier", IF(A86="Liechtenstein", "Ultra-Wealthy Microstate", IF(A86="Monaco", "Extreme Density Microstate", IF(A86="Singapore", "High-Density City-State", "Unclassified Outlier")))))</f>
        <v/>
      </c>
    </row>
    <row r="87" spans="1:30" x14ac:dyDescent="0.35">
      <c r="A87" s="1" t="s">
        <v>260</v>
      </c>
      <c r="B87" s="1" t="s">
        <v>261</v>
      </c>
      <c r="C87" s="1" t="s">
        <v>68</v>
      </c>
      <c r="D87" s="1" t="s">
        <v>30</v>
      </c>
      <c r="E87">
        <v>3.28</v>
      </c>
      <c r="F87" s="1" t="s">
        <v>31</v>
      </c>
      <c r="G87" s="1" t="s">
        <v>32</v>
      </c>
      <c r="H87">
        <v>31.95</v>
      </c>
      <c r="I87">
        <v>35.933300000000003</v>
      </c>
      <c r="J87">
        <v>89341</v>
      </c>
      <c r="K87">
        <v>11285869</v>
      </c>
      <c r="L87">
        <v>43743661972</v>
      </c>
      <c r="M87">
        <v>0.12</v>
      </c>
      <c r="N87">
        <v>3875.97</v>
      </c>
      <c r="O87">
        <v>74.400000000000006</v>
      </c>
      <c r="P87" s="1" t="s">
        <v>33</v>
      </c>
      <c r="Q87" s="1" t="s">
        <v>34</v>
      </c>
      <c r="R87" s="1" t="s">
        <v>35</v>
      </c>
      <c r="S87" s="1" t="s">
        <v>35</v>
      </c>
      <c r="T87" s="1" t="s">
        <v>37</v>
      </c>
      <c r="U87">
        <v>126.3</v>
      </c>
      <c r="V87" s="1" t="s">
        <v>79</v>
      </c>
      <c r="W87" s="1" t="s">
        <v>35</v>
      </c>
      <c r="X87">
        <v>489626</v>
      </c>
      <c r="Y87" s="1" t="s">
        <v>53</v>
      </c>
      <c r="Z87" s="1" t="s">
        <v>80</v>
      </c>
      <c r="AA87">
        <v>0</v>
      </c>
      <c r="AB87" s="1" t="s">
        <v>480</v>
      </c>
      <c r="AC87" s="1" t="s">
        <v>483</v>
      </c>
      <c r="AD87" s="1" t="str">
        <f>IF(AC87="no", "", IF(A87="Australia", "Low-Density Developed Outlier", IF(A87="Liechtenstein", "Ultra-Wealthy Microstate", IF(A87="Monaco", "Extreme Density Microstate", IF(A87="Singapore", "High-Density City-State", "Unclassified Outlier")))))</f>
        <v/>
      </c>
    </row>
    <row r="88" spans="1:30" x14ac:dyDescent="0.35">
      <c r="A88" s="1" t="s">
        <v>262</v>
      </c>
      <c r="B88" s="1" t="s">
        <v>263</v>
      </c>
      <c r="C88" s="1" t="s">
        <v>50</v>
      </c>
      <c r="D88" s="1" t="s">
        <v>30</v>
      </c>
      <c r="E88">
        <v>3.08</v>
      </c>
      <c r="F88" s="1" t="s">
        <v>31</v>
      </c>
      <c r="G88" s="1" t="s">
        <v>32</v>
      </c>
      <c r="H88">
        <v>51.17</v>
      </c>
      <c r="I88">
        <v>71.45</v>
      </c>
      <c r="J88">
        <v>2724900</v>
      </c>
      <c r="K88">
        <v>19621972</v>
      </c>
      <c r="L88">
        <v>180161741180</v>
      </c>
      <c r="M88">
        <v>0.8</v>
      </c>
      <c r="N88">
        <v>9181.6299999999992</v>
      </c>
      <c r="O88">
        <v>73.2</v>
      </c>
      <c r="P88" s="1" t="s">
        <v>33</v>
      </c>
      <c r="Q88" s="1" t="s">
        <v>34</v>
      </c>
      <c r="R88" s="1" t="s">
        <v>35</v>
      </c>
      <c r="S88" s="1" t="s">
        <v>36</v>
      </c>
      <c r="T88" s="1" t="s">
        <v>37</v>
      </c>
      <c r="U88">
        <v>7.2</v>
      </c>
      <c r="V88" s="1" t="s">
        <v>264</v>
      </c>
      <c r="W88" s="1" t="s">
        <v>36</v>
      </c>
      <c r="X88">
        <v>66117</v>
      </c>
      <c r="Y88" s="1" t="s">
        <v>46</v>
      </c>
      <c r="Z88" s="1" t="s">
        <v>80</v>
      </c>
      <c r="AA88">
        <v>3</v>
      </c>
      <c r="AB88" s="1" t="s">
        <v>478</v>
      </c>
      <c r="AC88" s="1" t="s">
        <v>483</v>
      </c>
      <c r="AD88" s="1" t="str">
        <f>IF(AC88="no", "", IF(A88="Australia", "Low-Density Developed Outlier", IF(A88="Liechtenstein", "Ultra-Wealthy Microstate", IF(A88="Monaco", "Extreme Density Microstate", IF(A88="Singapore", "High-Density City-State", "Unclassified Outlier")))))</f>
        <v/>
      </c>
    </row>
    <row r="89" spans="1:30" x14ac:dyDescent="0.35">
      <c r="A89" s="1" t="s">
        <v>265</v>
      </c>
      <c r="B89" s="1" t="s">
        <v>266</v>
      </c>
      <c r="C89" s="1" t="s">
        <v>50</v>
      </c>
      <c r="D89" s="1" t="s">
        <v>57</v>
      </c>
      <c r="E89">
        <v>5.05</v>
      </c>
      <c r="F89" s="1" t="s">
        <v>63</v>
      </c>
      <c r="G89" s="1" t="s">
        <v>32</v>
      </c>
      <c r="H89">
        <v>-1.2864</v>
      </c>
      <c r="I89">
        <v>36.8172</v>
      </c>
      <c r="J89">
        <v>581309</v>
      </c>
      <c r="K89">
        <v>54027487</v>
      </c>
      <c r="L89">
        <v>95503088538</v>
      </c>
      <c r="M89">
        <v>0.49</v>
      </c>
      <c r="N89">
        <v>1767.68</v>
      </c>
      <c r="O89">
        <v>66.3</v>
      </c>
      <c r="P89" s="1" t="s">
        <v>33</v>
      </c>
      <c r="Q89" s="1" t="s">
        <v>64</v>
      </c>
      <c r="R89" s="1" t="s">
        <v>36</v>
      </c>
      <c r="S89" s="1" t="s">
        <v>36</v>
      </c>
      <c r="T89" s="1" t="s">
        <v>51</v>
      </c>
      <c r="U89">
        <v>92.9</v>
      </c>
      <c r="V89" s="1" t="s">
        <v>65</v>
      </c>
      <c r="W89" s="1" t="s">
        <v>35</v>
      </c>
      <c r="X89">
        <v>164290</v>
      </c>
      <c r="Y89" s="1" t="s">
        <v>53</v>
      </c>
      <c r="Z89" s="1" t="s">
        <v>80</v>
      </c>
      <c r="AA89">
        <v>1</v>
      </c>
      <c r="AB89" s="1" t="s">
        <v>481</v>
      </c>
      <c r="AC89" s="1" t="s">
        <v>483</v>
      </c>
      <c r="AD89" s="1" t="str">
        <f>IF(AC89="no", "", IF(A89="Australia", "Low-Density Developed Outlier", IF(A89="Liechtenstein", "Ultra-Wealthy Microstate", IF(A89="Monaco", "Extreme Density Microstate", IF(A89="Singapore", "High-Density City-State", "Unclassified Outlier")))))</f>
        <v/>
      </c>
    </row>
    <row r="90" spans="1:30" x14ac:dyDescent="0.35">
      <c r="A90" s="1" t="s">
        <v>267</v>
      </c>
      <c r="B90" s="1" t="s">
        <v>268</v>
      </c>
      <c r="C90" s="1" t="s">
        <v>42</v>
      </c>
      <c r="D90" s="1" t="s">
        <v>57</v>
      </c>
      <c r="E90">
        <v>5.97</v>
      </c>
      <c r="F90" s="1" t="s">
        <v>63</v>
      </c>
      <c r="G90" s="1" t="s">
        <v>32</v>
      </c>
      <c r="H90">
        <v>1.33</v>
      </c>
      <c r="I90">
        <v>172.98</v>
      </c>
      <c r="J90">
        <v>811</v>
      </c>
      <c r="K90">
        <v>131232</v>
      </c>
      <c r="L90">
        <v>194647202</v>
      </c>
      <c r="M90">
        <v>0.42</v>
      </c>
      <c r="N90">
        <v>1483.23</v>
      </c>
      <c r="O90">
        <v>68.099999999999994</v>
      </c>
      <c r="P90" s="1" t="s">
        <v>33</v>
      </c>
      <c r="Q90" s="1" t="s">
        <v>34</v>
      </c>
      <c r="R90" s="1" t="s">
        <v>36</v>
      </c>
      <c r="S90" s="1" t="s">
        <v>36</v>
      </c>
      <c r="T90" s="1" t="s">
        <v>84</v>
      </c>
      <c r="U90">
        <v>161.80000000000001</v>
      </c>
      <c r="V90" s="1" t="s">
        <v>202</v>
      </c>
      <c r="W90" s="1" t="s">
        <v>35</v>
      </c>
      <c r="X90">
        <v>240009</v>
      </c>
      <c r="Y90" s="1" t="s">
        <v>53</v>
      </c>
      <c r="Z90" s="1" t="s">
        <v>80</v>
      </c>
      <c r="AA90">
        <v>1</v>
      </c>
      <c r="AB90" s="1" t="s">
        <v>481</v>
      </c>
      <c r="AC90" s="1" t="s">
        <v>483</v>
      </c>
      <c r="AD90" s="1" t="str">
        <f>IF(AC90="no", "", IF(A90="Australia", "Low-Density Developed Outlier", IF(A90="Liechtenstein", "Ultra-Wealthy Microstate", IF(A90="Monaco", "Extreme Density Microstate", IF(A90="Singapore", "High-Density City-State", "Unclassified Outlier")))))</f>
        <v/>
      </c>
    </row>
    <row r="91" spans="1:30" x14ac:dyDescent="0.35">
      <c r="A91" s="1" t="s">
        <v>269</v>
      </c>
      <c r="B91" s="1" t="s">
        <v>270</v>
      </c>
      <c r="C91" s="1" t="s">
        <v>68</v>
      </c>
      <c r="D91" s="1" t="s">
        <v>30</v>
      </c>
      <c r="E91">
        <v>2.78</v>
      </c>
      <c r="F91" s="1" t="s">
        <v>31</v>
      </c>
      <c r="G91" s="1" t="s">
        <v>32</v>
      </c>
      <c r="H91">
        <v>29.375</v>
      </c>
      <c r="I91">
        <v>47.98</v>
      </c>
      <c r="J91">
        <v>17818</v>
      </c>
      <c r="K91">
        <v>4268873</v>
      </c>
      <c r="L91">
        <v>134761198946</v>
      </c>
      <c r="M91">
        <v>0.08</v>
      </c>
      <c r="N91">
        <v>31568.33</v>
      </c>
      <c r="O91">
        <v>75.400000000000006</v>
      </c>
      <c r="P91" s="1" t="s">
        <v>33</v>
      </c>
      <c r="Q91" s="1" t="s">
        <v>34</v>
      </c>
      <c r="R91" s="1" t="s">
        <v>35</v>
      </c>
      <c r="S91" s="1" t="s">
        <v>35</v>
      </c>
      <c r="T91" s="1" t="s">
        <v>37</v>
      </c>
      <c r="U91">
        <v>239.6</v>
      </c>
      <c r="V91" s="1" t="s">
        <v>79</v>
      </c>
      <c r="W91" s="1" t="s">
        <v>35</v>
      </c>
      <c r="X91">
        <v>7563206</v>
      </c>
      <c r="Y91" s="1" t="s">
        <v>47</v>
      </c>
      <c r="Z91" s="1" t="s">
        <v>47</v>
      </c>
      <c r="AA91">
        <v>0</v>
      </c>
      <c r="AB91" s="1" t="s">
        <v>480</v>
      </c>
      <c r="AC91" s="1" t="s">
        <v>483</v>
      </c>
      <c r="AD91" s="1" t="str">
        <f>IF(AC91="no", "", IF(A91="Australia", "Low-Density Developed Outlier", IF(A91="Liechtenstein", "Ultra-Wealthy Microstate", IF(A91="Monaco", "Extreme Density Microstate", IF(A91="Singapore", "High-Density City-State", "Unclassified Outlier")))))</f>
        <v/>
      </c>
    </row>
    <row r="92" spans="1:30" x14ac:dyDescent="0.35">
      <c r="A92" s="1" t="s">
        <v>271</v>
      </c>
      <c r="B92" s="1" t="s">
        <v>272</v>
      </c>
      <c r="C92" s="1" t="s">
        <v>50</v>
      </c>
      <c r="D92" s="1" t="s">
        <v>30</v>
      </c>
      <c r="E92">
        <v>3.52</v>
      </c>
      <c r="F92" s="1" t="s">
        <v>31</v>
      </c>
      <c r="G92" s="1" t="s">
        <v>32</v>
      </c>
      <c r="H92">
        <v>42.87</v>
      </c>
      <c r="I92">
        <v>74.59</v>
      </c>
      <c r="J92">
        <v>199951</v>
      </c>
      <c r="K92">
        <v>6803300</v>
      </c>
      <c r="L92">
        <v>8454619608</v>
      </c>
      <c r="M92">
        <v>0.55000000000000004</v>
      </c>
      <c r="N92">
        <v>1242.72</v>
      </c>
      <c r="O92">
        <v>71.400000000000006</v>
      </c>
      <c r="P92" s="1" t="s">
        <v>33</v>
      </c>
      <c r="Q92" s="1" t="s">
        <v>34</v>
      </c>
      <c r="R92" s="1" t="s">
        <v>35</v>
      </c>
      <c r="S92" s="1" t="s">
        <v>36</v>
      </c>
      <c r="T92" s="1" t="s">
        <v>37</v>
      </c>
      <c r="U92">
        <v>34</v>
      </c>
      <c r="V92" s="1" t="s">
        <v>264</v>
      </c>
      <c r="W92" s="1" t="s">
        <v>36</v>
      </c>
      <c r="X92">
        <v>42283</v>
      </c>
      <c r="Y92" s="1" t="s">
        <v>53</v>
      </c>
      <c r="Z92" s="1" t="s">
        <v>80</v>
      </c>
      <c r="AA92">
        <v>3</v>
      </c>
      <c r="AB92" s="1" t="s">
        <v>478</v>
      </c>
      <c r="AC92" s="1" t="s">
        <v>483</v>
      </c>
      <c r="AD92" s="1" t="str">
        <f>IF(AC92="no", "", IF(A92="Australia", "Low-Density Developed Outlier", IF(A92="Liechtenstein", "Ultra-Wealthy Microstate", IF(A92="Monaco", "Extreme Density Microstate", IF(A92="Singapore", "High-Density City-State", "Unclassified Outlier")))))</f>
        <v/>
      </c>
    </row>
    <row r="93" spans="1:30" x14ac:dyDescent="0.35">
      <c r="A93" s="1" t="s">
        <v>273</v>
      </c>
      <c r="B93" s="1" t="s">
        <v>274</v>
      </c>
      <c r="C93" s="1" t="s">
        <v>150</v>
      </c>
      <c r="D93" s="1" t="s">
        <v>110</v>
      </c>
      <c r="E93">
        <v>1.71</v>
      </c>
      <c r="F93" s="1" t="s">
        <v>31</v>
      </c>
      <c r="G93" s="1" t="s">
        <v>32</v>
      </c>
      <c r="H93">
        <v>17.98</v>
      </c>
      <c r="I93">
        <v>102.63</v>
      </c>
      <c r="J93">
        <v>236800</v>
      </c>
      <c r="K93">
        <v>7529475</v>
      </c>
      <c r="L93">
        <v>18173839128</v>
      </c>
      <c r="M93">
        <v>0.1</v>
      </c>
      <c r="N93">
        <v>2413.69</v>
      </c>
      <c r="O93">
        <v>67.599999999999994</v>
      </c>
      <c r="P93" s="1" t="s">
        <v>33</v>
      </c>
      <c r="Q93" s="1" t="s">
        <v>34</v>
      </c>
      <c r="R93" s="1" t="s">
        <v>36</v>
      </c>
      <c r="S93" s="1" t="s">
        <v>35</v>
      </c>
      <c r="T93" s="1" t="s">
        <v>37</v>
      </c>
      <c r="U93">
        <v>31.8</v>
      </c>
      <c r="V93" s="1" t="s">
        <v>124</v>
      </c>
      <c r="W93" s="1" t="s">
        <v>36</v>
      </c>
      <c r="X93">
        <v>76748</v>
      </c>
      <c r="Y93" s="1" t="s">
        <v>53</v>
      </c>
      <c r="Z93" s="1" t="s">
        <v>80</v>
      </c>
      <c r="AA93">
        <v>0</v>
      </c>
      <c r="AB93" s="1" t="s">
        <v>480</v>
      </c>
      <c r="AC93" s="1" t="s">
        <v>483</v>
      </c>
      <c r="AD93" s="1" t="str">
        <f>IF(AC93="no", "", IF(A93="Australia", "Low-Density Developed Outlier", IF(A93="Liechtenstein", "Ultra-Wealthy Microstate", IF(A93="Monaco", "Extreme Density Microstate", IF(A93="Singapore", "High-Density City-State", "Unclassified Outlier")))))</f>
        <v/>
      </c>
    </row>
    <row r="94" spans="1:30" x14ac:dyDescent="0.35">
      <c r="A94" s="1" t="s">
        <v>275</v>
      </c>
      <c r="B94" s="1" t="s">
        <v>276</v>
      </c>
      <c r="C94" s="1" t="s">
        <v>42</v>
      </c>
      <c r="D94" s="1" t="s">
        <v>57</v>
      </c>
      <c r="E94">
        <v>7.66</v>
      </c>
      <c r="F94" s="1" t="s">
        <v>43</v>
      </c>
      <c r="G94" s="1" t="s">
        <v>59</v>
      </c>
      <c r="H94">
        <v>56.947499999999998</v>
      </c>
      <c r="I94">
        <v>24.1069</v>
      </c>
      <c r="J94">
        <v>64594</v>
      </c>
      <c r="K94">
        <v>1883379</v>
      </c>
      <c r="L94">
        <v>34117202555</v>
      </c>
      <c r="M94">
        <v>0.31</v>
      </c>
      <c r="N94">
        <v>18114.89</v>
      </c>
      <c r="O94">
        <v>74.7</v>
      </c>
      <c r="P94" s="1" t="s">
        <v>33</v>
      </c>
      <c r="Q94" s="1" t="s">
        <v>34</v>
      </c>
      <c r="R94" s="1" t="s">
        <v>35</v>
      </c>
      <c r="S94" s="1" t="s">
        <v>36</v>
      </c>
      <c r="T94" s="1" t="s">
        <v>44</v>
      </c>
      <c r="U94">
        <v>29.2</v>
      </c>
      <c r="V94" s="1" t="s">
        <v>195</v>
      </c>
      <c r="W94" s="1" t="s">
        <v>35</v>
      </c>
      <c r="X94">
        <v>528179</v>
      </c>
      <c r="Y94" s="1" t="s">
        <v>47</v>
      </c>
      <c r="Z94" s="1" t="s">
        <v>80</v>
      </c>
      <c r="AA94">
        <v>2</v>
      </c>
      <c r="AB94" s="1" t="s">
        <v>479</v>
      </c>
      <c r="AC94" s="1" t="s">
        <v>483</v>
      </c>
      <c r="AD94" s="1" t="str">
        <f>IF(AC94="no", "", IF(A94="Australia", "Low-Density Developed Outlier", IF(A94="Liechtenstein", "Ultra-Wealthy Microstate", IF(A94="Monaco", "Extreme Density Microstate", IF(A94="Singapore", "High-Density City-State", "Unclassified Outlier")))))</f>
        <v/>
      </c>
    </row>
    <row r="95" spans="1:30" x14ac:dyDescent="0.35">
      <c r="A95" s="1" t="s">
        <v>277</v>
      </c>
      <c r="B95" s="1" t="s">
        <v>278</v>
      </c>
      <c r="C95" s="1" t="s">
        <v>42</v>
      </c>
      <c r="D95" s="1" t="s">
        <v>30</v>
      </c>
      <c r="E95">
        <v>3.56</v>
      </c>
      <c r="F95" s="1" t="s">
        <v>31</v>
      </c>
      <c r="G95" s="1" t="s">
        <v>32</v>
      </c>
      <c r="H95">
        <v>33.886899999999997</v>
      </c>
      <c r="I95">
        <v>35.513100000000001</v>
      </c>
      <c r="J95">
        <v>10452</v>
      </c>
      <c r="K95">
        <v>5489739</v>
      </c>
      <c r="L95">
        <v>53367042272</v>
      </c>
      <c r="M95">
        <v>0.64</v>
      </c>
      <c r="N95">
        <v>9721.23</v>
      </c>
      <c r="O95">
        <v>78.900000000000006</v>
      </c>
      <c r="P95" s="1" t="s">
        <v>33</v>
      </c>
      <c r="Q95" s="1" t="s">
        <v>34</v>
      </c>
      <c r="R95" s="1" t="s">
        <v>35</v>
      </c>
      <c r="S95" s="1" t="s">
        <v>36</v>
      </c>
      <c r="T95" s="1" t="s">
        <v>37</v>
      </c>
      <c r="U95">
        <v>525.20000000000005</v>
      </c>
      <c r="V95" s="1" t="s">
        <v>79</v>
      </c>
      <c r="W95" s="1" t="s">
        <v>35</v>
      </c>
      <c r="X95">
        <v>5105917</v>
      </c>
      <c r="Y95" s="1" t="s">
        <v>46</v>
      </c>
      <c r="Z95" s="1" t="s">
        <v>47</v>
      </c>
      <c r="AA95">
        <v>3</v>
      </c>
      <c r="AB95" s="1" t="s">
        <v>478</v>
      </c>
      <c r="AC95" s="1" t="s">
        <v>483</v>
      </c>
      <c r="AD95" s="1" t="str">
        <f>IF(AC95="no", "", IF(A95="Australia", "Low-Density Developed Outlier", IF(A95="Liechtenstein", "Ultra-Wealthy Microstate", IF(A95="Monaco", "Extreme Density Microstate", IF(A95="Singapore", "High-Density City-State", "Unclassified Outlier")))))</f>
        <v/>
      </c>
    </row>
    <row r="96" spans="1:30" x14ac:dyDescent="0.35">
      <c r="A96" s="1" t="s">
        <v>279</v>
      </c>
      <c r="B96" s="1" t="s">
        <v>280</v>
      </c>
      <c r="C96" s="1" t="s">
        <v>68</v>
      </c>
      <c r="D96" s="1" t="s">
        <v>57</v>
      </c>
      <c r="E96">
        <v>6.06</v>
      </c>
      <c r="F96" s="1" t="s">
        <v>43</v>
      </c>
      <c r="G96" s="1" t="s">
        <v>32</v>
      </c>
      <c r="H96">
        <v>-29.31</v>
      </c>
      <c r="I96">
        <v>27.48</v>
      </c>
      <c r="J96">
        <v>30355</v>
      </c>
      <c r="K96">
        <v>2305825</v>
      </c>
      <c r="L96">
        <v>2460072444</v>
      </c>
      <c r="M96">
        <v>0.78</v>
      </c>
      <c r="N96">
        <v>1066.8900000000001</v>
      </c>
      <c r="O96">
        <v>53.7</v>
      </c>
      <c r="P96" s="1" t="s">
        <v>33</v>
      </c>
      <c r="Q96" s="1" t="s">
        <v>64</v>
      </c>
      <c r="R96" s="1" t="s">
        <v>35</v>
      </c>
      <c r="S96" s="1" t="s">
        <v>36</v>
      </c>
      <c r="T96" s="1" t="s">
        <v>51</v>
      </c>
      <c r="U96">
        <v>76</v>
      </c>
      <c r="V96" s="1" t="s">
        <v>118</v>
      </c>
      <c r="W96" s="1" t="s">
        <v>36</v>
      </c>
      <c r="X96">
        <v>81043</v>
      </c>
      <c r="Y96" s="1" t="s">
        <v>53</v>
      </c>
      <c r="Z96" s="1" t="s">
        <v>39</v>
      </c>
      <c r="AA96">
        <v>1</v>
      </c>
      <c r="AB96" s="1" t="s">
        <v>481</v>
      </c>
      <c r="AC96" s="1" t="s">
        <v>483</v>
      </c>
      <c r="AD96" s="1" t="str">
        <f>IF(AC96="no", "", IF(A96="Australia", "Low-Density Developed Outlier", IF(A96="Liechtenstein", "Ultra-Wealthy Microstate", IF(A96="Monaco", "Extreme Density Microstate", IF(A96="Singapore", "High-Density City-State", "Unclassified Outlier")))))</f>
        <v/>
      </c>
    </row>
    <row r="97" spans="1:30" x14ac:dyDescent="0.35">
      <c r="A97" s="1" t="s">
        <v>281</v>
      </c>
      <c r="B97" s="1" t="s">
        <v>282</v>
      </c>
      <c r="C97" s="1" t="s">
        <v>50</v>
      </c>
      <c r="D97" s="1" t="s">
        <v>57</v>
      </c>
      <c r="E97">
        <v>5.57</v>
      </c>
      <c r="F97" s="1" t="s">
        <v>63</v>
      </c>
      <c r="G97" s="1" t="s">
        <v>32</v>
      </c>
      <c r="H97">
        <v>6.3106</v>
      </c>
      <c r="I97">
        <v>-10.8047</v>
      </c>
      <c r="J97">
        <v>111369</v>
      </c>
      <c r="K97">
        <v>5302681</v>
      </c>
      <c r="L97">
        <v>3070518100</v>
      </c>
      <c r="M97">
        <v>0.28000000000000003</v>
      </c>
      <c r="N97">
        <v>579.04999999999995</v>
      </c>
      <c r="O97">
        <v>63.7</v>
      </c>
      <c r="P97" s="1" t="s">
        <v>69</v>
      </c>
      <c r="Q97" s="1" t="s">
        <v>34</v>
      </c>
      <c r="R97" s="1" t="s">
        <v>36</v>
      </c>
      <c r="S97" s="1" t="s">
        <v>36</v>
      </c>
      <c r="T97" s="1" t="s">
        <v>51</v>
      </c>
      <c r="U97">
        <v>47.6</v>
      </c>
      <c r="V97" s="1" t="s">
        <v>130</v>
      </c>
      <c r="W97" s="1" t="s">
        <v>35</v>
      </c>
      <c r="X97">
        <v>27571</v>
      </c>
      <c r="Y97" s="1" t="s">
        <v>39</v>
      </c>
      <c r="Z97" s="1" t="s">
        <v>39</v>
      </c>
      <c r="AA97">
        <v>0</v>
      </c>
      <c r="AB97" s="1" t="s">
        <v>480</v>
      </c>
      <c r="AC97" s="1" t="s">
        <v>483</v>
      </c>
      <c r="AD97" s="1" t="str">
        <f>IF(AC97="no", "", IF(A97="Australia", "Low-Density Developed Outlier", IF(A97="Liechtenstein", "Ultra-Wealthy Microstate", IF(A97="Monaco", "Extreme Density Microstate", IF(A97="Singapore", "High-Density City-State", "Unclassified Outlier")))))</f>
        <v/>
      </c>
    </row>
    <row r="98" spans="1:30" x14ac:dyDescent="0.35">
      <c r="A98" s="1" t="s">
        <v>283</v>
      </c>
      <c r="B98" s="1" t="s">
        <v>284</v>
      </c>
      <c r="C98" s="1" t="s">
        <v>129</v>
      </c>
      <c r="D98" s="1" t="s">
        <v>30</v>
      </c>
      <c r="E98">
        <v>2.31</v>
      </c>
      <c r="F98" s="1" t="s">
        <v>31</v>
      </c>
      <c r="G98" s="1" t="s">
        <v>32</v>
      </c>
      <c r="H98">
        <v>32.871099999999998</v>
      </c>
      <c r="I98">
        <v>13.18</v>
      </c>
      <c r="J98">
        <v>1759541</v>
      </c>
      <c r="K98">
        <v>6812341</v>
      </c>
      <c r="L98">
        <v>52076250948</v>
      </c>
      <c r="M98">
        <v>0.09</v>
      </c>
      <c r="N98">
        <v>7644.4</v>
      </c>
      <c r="O98">
        <v>72.7</v>
      </c>
      <c r="P98" s="1" t="s">
        <v>33</v>
      </c>
      <c r="Q98" s="1" t="s">
        <v>34</v>
      </c>
      <c r="R98" s="1" t="s">
        <v>35</v>
      </c>
      <c r="S98" s="1" t="s">
        <v>35</v>
      </c>
      <c r="T98" s="1" t="s">
        <v>51</v>
      </c>
      <c r="U98">
        <v>3.9</v>
      </c>
      <c r="V98" s="1" t="s">
        <v>52</v>
      </c>
      <c r="W98" s="1" t="s">
        <v>35</v>
      </c>
      <c r="X98">
        <v>29596</v>
      </c>
      <c r="Y98" s="1" t="s">
        <v>46</v>
      </c>
      <c r="Z98" s="1" t="s">
        <v>80</v>
      </c>
      <c r="AA98">
        <v>0</v>
      </c>
      <c r="AB98" s="1" t="s">
        <v>480</v>
      </c>
      <c r="AC98" s="1" t="s">
        <v>483</v>
      </c>
      <c r="AD98" s="1" t="str">
        <f>IF(AC98="no", "", IF(A98="Australia", "Low-Density Developed Outlier", IF(A98="Liechtenstein", "Ultra-Wealthy Microstate", IF(A98="Monaco", "Extreme Density Microstate", IF(A98="Singapore", "High-Density City-State", "Unclassified Outlier")))))</f>
        <v/>
      </c>
    </row>
    <row r="99" spans="1:30" x14ac:dyDescent="0.35">
      <c r="A99" s="1" t="s">
        <v>285</v>
      </c>
      <c r="B99" s="1" t="s">
        <v>286</v>
      </c>
      <c r="C99" s="1" t="s">
        <v>68</v>
      </c>
      <c r="D99" s="1" t="s">
        <v>57</v>
      </c>
      <c r="E99">
        <v>8.61</v>
      </c>
      <c r="F99" s="1" t="s">
        <v>58</v>
      </c>
      <c r="G99" s="1" t="s">
        <v>59</v>
      </c>
      <c r="H99">
        <v>47.14</v>
      </c>
      <c r="I99">
        <v>9.52</v>
      </c>
      <c r="J99">
        <v>160</v>
      </c>
      <c r="K99">
        <v>39327</v>
      </c>
      <c r="L99">
        <v>6552858739</v>
      </c>
      <c r="M99">
        <v>0.32</v>
      </c>
      <c r="N99">
        <v>166624.93</v>
      </c>
      <c r="O99">
        <v>83</v>
      </c>
      <c r="P99" s="1" t="s">
        <v>33</v>
      </c>
      <c r="Q99" s="1" t="s">
        <v>34</v>
      </c>
      <c r="R99" s="1" t="s">
        <v>35</v>
      </c>
      <c r="S99" s="1" t="s">
        <v>36</v>
      </c>
      <c r="T99" s="1" t="s">
        <v>44</v>
      </c>
      <c r="U99">
        <v>245.8</v>
      </c>
      <c r="V99" s="1" t="s">
        <v>60</v>
      </c>
      <c r="W99" s="1" t="s">
        <v>36</v>
      </c>
      <c r="X99">
        <v>40955367</v>
      </c>
      <c r="Y99" s="1" t="s">
        <v>47</v>
      </c>
      <c r="Z99" s="1" t="s">
        <v>47</v>
      </c>
      <c r="AA99">
        <v>2</v>
      </c>
      <c r="AB99" s="1" t="s">
        <v>479</v>
      </c>
      <c r="AC99" s="1" t="s">
        <v>484</v>
      </c>
      <c r="AD99" s="1" t="str">
        <f>IF(AC99="no", "", IF(A99="Australia", "Low-Density Developed Outlier", IF(A99="Liechtenstein", "Ultra-Wealthy Microstate", IF(A99="Monaco", "Extreme Density Microstate", IF(A99="Singapore", "High-Density City-State", "Unclassified Outlier")))))</f>
        <v>Ultra-Wealthy Microstate</v>
      </c>
    </row>
    <row r="100" spans="1:30" x14ac:dyDescent="0.35">
      <c r="A100" s="1" t="s">
        <v>287</v>
      </c>
      <c r="B100" s="1" t="s">
        <v>288</v>
      </c>
      <c r="C100" s="1" t="s">
        <v>135</v>
      </c>
      <c r="D100" s="1" t="s">
        <v>57</v>
      </c>
      <c r="E100">
        <v>7.59</v>
      </c>
      <c r="F100" s="1" t="s">
        <v>43</v>
      </c>
      <c r="G100" s="1" t="s">
        <v>59</v>
      </c>
      <c r="H100">
        <v>54.687199999999997</v>
      </c>
      <c r="I100">
        <v>25.28</v>
      </c>
      <c r="J100">
        <v>65300</v>
      </c>
      <c r="K100">
        <v>2833000</v>
      </c>
      <c r="L100">
        <v>54219315600</v>
      </c>
      <c r="M100">
        <v>0.47</v>
      </c>
      <c r="N100">
        <v>19138.48</v>
      </c>
      <c r="O100">
        <v>75.7</v>
      </c>
      <c r="P100" s="1" t="s">
        <v>33</v>
      </c>
      <c r="Q100" s="1" t="s">
        <v>34</v>
      </c>
      <c r="R100" s="1" t="s">
        <v>35</v>
      </c>
      <c r="S100" s="1" t="s">
        <v>36</v>
      </c>
      <c r="T100" s="1" t="s">
        <v>44</v>
      </c>
      <c r="U100">
        <v>43.4</v>
      </c>
      <c r="V100" s="1" t="s">
        <v>101</v>
      </c>
      <c r="W100" s="1" t="s">
        <v>35</v>
      </c>
      <c r="X100">
        <v>830311</v>
      </c>
      <c r="Y100" s="1" t="s">
        <v>47</v>
      </c>
      <c r="Z100" s="1" t="s">
        <v>47</v>
      </c>
      <c r="AA100">
        <v>2</v>
      </c>
      <c r="AB100" s="1" t="s">
        <v>479</v>
      </c>
      <c r="AC100" s="1" t="s">
        <v>483</v>
      </c>
      <c r="AD100" s="1" t="str">
        <f>IF(AC100="no", "", IF(A100="Australia", "Low-Density Developed Outlier", IF(A100="Liechtenstein", "Ultra-Wealthy Microstate", IF(A100="Monaco", "Extreme Density Microstate", IF(A100="Singapore", "High-Density City-State", "Unclassified Outlier")))))</f>
        <v/>
      </c>
    </row>
    <row r="101" spans="1:30" x14ac:dyDescent="0.35">
      <c r="A101" s="1" t="s">
        <v>289</v>
      </c>
      <c r="B101" s="1" t="s">
        <v>290</v>
      </c>
      <c r="C101" s="1" t="s">
        <v>68</v>
      </c>
      <c r="D101" s="1" t="s">
        <v>57</v>
      </c>
      <c r="E101">
        <v>8.8800000000000008</v>
      </c>
      <c r="F101" s="1" t="s">
        <v>58</v>
      </c>
      <c r="G101" s="1" t="s">
        <v>59</v>
      </c>
      <c r="H101">
        <v>49.610599999999998</v>
      </c>
      <c r="I101">
        <v>6.1327999999999996</v>
      </c>
      <c r="J101">
        <v>2586</v>
      </c>
      <c r="K101">
        <v>650774</v>
      </c>
      <c r="L101">
        <v>71104919108</v>
      </c>
      <c r="M101">
        <v>0.54</v>
      </c>
      <c r="N101">
        <v>109262.08</v>
      </c>
      <c r="O101">
        <v>82.1</v>
      </c>
      <c r="P101" s="1" t="s">
        <v>33</v>
      </c>
      <c r="Q101" s="1" t="s">
        <v>34</v>
      </c>
      <c r="R101" s="1" t="s">
        <v>35</v>
      </c>
      <c r="S101" s="1" t="s">
        <v>36</v>
      </c>
      <c r="T101" s="1" t="s">
        <v>44</v>
      </c>
      <c r="U101">
        <v>251.7</v>
      </c>
      <c r="V101" s="1" t="s">
        <v>60</v>
      </c>
      <c r="W101" s="1" t="s">
        <v>36</v>
      </c>
      <c r="X101">
        <v>27496102</v>
      </c>
      <c r="Y101" s="1" t="s">
        <v>47</v>
      </c>
      <c r="Z101" s="1" t="s">
        <v>47</v>
      </c>
      <c r="AA101">
        <v>2</v>
      </c>
      <c r="AB101" s="1" t="s">
        <v>479</v>
      </c>
      <c r="AC101" s="1" t="s">
        <v>483</v>
      </c>
      <c r="AD101" s="1" t="str">
        <f>IF(AC101="no", "", IF(A101="Australia", "Low-Density Developed Outlier", IF(A101="Liechtenstein", "Ultra-Wealthy Microstate", IF(A101="Monaco", "Extreme Density Microstate", IF(A101="Singapore", "High-Density City-State", "Unclassified Outlier")))))</f>
        <v/>
      </c>
    </row>
    <row r="102" spans="1:30" x14ac:dyDescent="0.35">
      <c r="A102" s="1" t="s">
        <v>291</v>
      </c>
      <c r="B102" s="1" t="s">
        <v>292</v>
      </c>
      <c r="C102" s="1" t="s">
        <v>135</v>
      </c>
      <c r="D102" s="1" t="s">
        <v>57</v>
      </c>
      <c r="E102">
        <v>5.33</v>
      </c>
      <c r="F102" s="1" t="s">
        <v>63</v>
      </c>
      <c r="G102" s="1" t="s">
        <v>32</v>
      </c>
      <c r="H102">
        <v>-18.938600000000001</v>
      </c>
      <c r="I102">
        <v>47.5214</v>
      </c>
      <c r="J102">
        <v>587295</v>
      </c>
      <c r="K102">
        <v>29611714</v>
      </c>
      <c r="L102">
        <v>14083906357</v>
      </c>
      <c r="M102">
        <v>0.71</v>
      </c>
      <c r="N102">
        <v>475.62</v>
      </c>
      <c r="O102">
        <v>66.7</v>
      </c>
      <c r="P102" s="1" t="s">
        <v>33</v>
      </c>
      <c r="Q102" s="1" t="s">
        <v>64</v>
      </c>
      <c r="R102" s="1" t="s">
        <v>36</v>
      </c>
      <c r="S102" s="1" t="s">
        <v>36</v>
      </c>
      <c r="T102" s="1" t="s">
        <v>51</v>
      </c>
      <c r="U102">
        <v>50.4</v>
      </c>
      <c r="V102" s="1" t="s">
        <v>118</v>
      </c>
      <c r="W102" s="1" t="s">
        <v>35</v>
      </c>
      <c r="X102">
        <v>23981</v>
      </c>
      <c r="Y102" s="1" t="s">
        <v>39</v>
      </c>
      <c r="Z102" s="1" t="s">
        <v>80</v>
      </c>
      <c r="AA102">
        <v>1</v>
      </c>
      <c r="AB102" s="1" t="s">
        <v>481</v>
      </c>
      <c r="AC102" s="1" t="s">
        <v>483</v>
      </c>
      <c r="AD102" s="1" t="str">
        <f>IF(AC102="no", "", IF(A102="Australia", "Low-Density Developed Outlier", IF(A102="Liechtenstein", "Ultra-Wealthy Microstate", IF(A102="Monaco", "Extreme Density Microstate", IF(A102="Singapore", "High-Density City-State", "Unclassified Outlier")))))</f>
        <v/>
      </c>
    </row>
    <row r="103" spans="1:30" x14ac:dyDescent="0.35">
      <c r="A103" s="1" t="s">
        <v>293</v>
      </c>
      <c r="B103" s="1" t="s">
        <v>294</v>
      </c>
      <c r="C103" s="1" t="s">
        <v>50</v>
      </c>
      <c r="D103" s="1" t="s">
        <v>57</v>
      </c>
      <c r="E103">
        <v>5.85</v>
      </c>
      <c r="F103" s="1" t="s">
        <v>63</v>
      </c>
      <c r="G103" s="1" t="s">
        <v>32</v>
      </c>
      <c r="H103">
        <v>-13.9833</v>
      </c>
      <c r="I103">
        <v>33.783299999999997</v>
      </c>
      <c r="J103">
        <v>118484</v>
      </c>
      <c r="K103">
        <v>20405317</v>
      </c>
      <c r="L103">
        <v>7666704427</v>
      </c>
      <c r="M103">
        <v>0.61</v>
      </c>
      <c r="N103">
        <v>375.72</v>
      </c>
      <c r="O103">
        <v>63.8</v>
      </c>
      <c r="P103" s="1" t="s">
        <v>33</v>
      </c>
      <c r="Q103" s="1" t="s">
        <v>64</v>
      </c>
      <c r="R103" s="1" t="s">
        <v>36</v>
      </c>
      <c r="S103" s="1" t="s">
        <v>36</v>
      </c>
      <c r="T103" s="1" t="s">
        <v>51</v>
      </c>
      <c r="U103">
        <v>172.2</v>
      </c>
      <c r="V103" s="1" t="s">
        <v>118</v>
      </c>
      <c r="W103" s="1" t="s">
        <v>36</v>
      </c>
      <c r="X103">
        <v>64707</v>
      </c>
      <c r="Y103" s="1" t="s">
        <v>39</v>
      </c>
      <c r="Z103" s="1" t="s">
        <v>39</v>
      </c>
      <c r="AA103">
        <v>1</v>
      </c>
      <c r="AB103" s="1" t="s">
        <v>481</v>
      </c>
      <c r="AC103" s="1" t="s">
        <v>483</v>
      </c>
      <c r="AD103" s="1" t="str">
        <f>IF(AC103="no", "", IF(A103="Australia", "Low-Density Developed Outlier", IF(A103="Liechtenstein", "Ultra-Wealthy Microstate", IF(A103="Monaco", "Extreme Density Microstate", IF(A103="Singapore", "High-Density City-State", "Unclassified Outlier")))))</f>
        <v/>
      </c>
    </row>
    <row r="104" spans="1:30" x14ac:dyDescent="0.35">
      <c r="A104" s="1" t="s">
        <v>295</v>
      </c>
      <c r="B104" s="1" t="s">
        <v>296</v>
      </c>
      <c r="C104" s="1" t="s">
        <v>83</v>
      </c>
      <c r="D104" s="1" t="s">
        <v>30</v>
      </c>
      <c r="E104">
        <v>7.11</v>
      </c>
      <c r="F104" s="1" t="s">
        <v>43</v>
      </c>
      <c r="G104" s="1" t="s">
        <v>32</v>
      </c>
      <c r="H104">
        <v>3.14</v>
      </c>
      <c r="I104">
        <v>101.69</v>
      </c>
      <c r="J104">
        <v>330803</v>
      </c>
      <c r="K104">
        <v>33938221</v>
      </c>
      <c r="L104">
        <v>364701517788</v>
      </c>
      <c r="M104">
        <v>0.26</v>
      </c>
      <c r="N104">
        <v>10746.04</v>
      </c>
      <c r="O104">
        <v>76</v>
      </c>
      <c r="P104" s="1" t="s">
        <v>33</v>
      </c>
      <c r="Q104" s="1" t="s">
        <v>34</v>
      </c>
      <c r="R104" s="1" t="s">
        <v>36</v>
      </c>
      <c r="S104" s="1" t="s">
        <v>36</v>
      </c>
      <c r="T104" s="1" t="s">
        <v>37</v>
      </c>
      <c r="U104">
        <v>102.6</v>
      </c>
      <c r="V104" s="1" t="s">
        <v>124</v>
      </c>
      <c r="W104" s="1" t="s">
        <v>35</v>
      </c>
      <c r="X104">
        <v>1102473</v>
      </c>
      <c r="Y104" s="1" t="s">
        <v>46</v>
      </c>
      <c r="Z104" s="1" t="s">
        <v>47</v>
      </c>
      <c r="AA104">
        <v>0</v>
      </c>
      <c r="AB104" s="1" t="s">
        <v>480</v>
      </c>
      <c r="AC104" s="1" t="s">
        <v>483</v>
      </c>
      <c r="AD104" s="1" t="str">
        <f>IF(AC104="no", "", IF(A104="Australia", "Low-Density Developed Outlier", IF(A104="Liechtenstein", "Ultra-Wealthy Microstate", IF(A104="Monaco", "Extreme Density Microstate", IF(A104="Singapore", "High-Density City-State", "Unclassified Outlier")))))</f>
        <v/>
      </c>
    </row>
    <row r="105" spans="1:30" x14ac:dyDescent="0.35">
      <c r="A105" s="1" t="s">
        <v>297</v>
      </c>
      <c r="B105" s="1" t="s">
        <v>298</v>
      </c>
      <c r="C105" s="1" t="s">
        <v>129</v>
      </c>
      <c r="D105" s="1" t="s">
        <v>30</v>
      </c>
      <c r="E105">
        <v>2.4</v>
      </c>
      <c r="F105" s="1" t="s">
        <v>31</v>
      </c>
      <c r="G105" s="1" t="s">
        <v>32</v>
      </c>
      <c r="H105">
        <v>12.64</v>
      </c>
      <c r="I105">
        <v>-8</v>
      </c>
      <c r="J105">
        <v>1240192</v>
      </c>
      <c r="K105">
        <v>22593590</v>
      </c>
      <c r="L105">
        <v>17510141171</v>
      </c>
      <c r="M105">
        <v>0.34</v>
      </c>
      <c r="N105">
        <v>775</v>
      </c>
      <c r="O105">
        <v>58.9</v>
      </c>
      <c r="P105" s="1" t="s">
        <v>69</v>
      </c>
      <c r="Q105" s="1" t="s">
        <v>34</v>
      </c>
      <c r="R105" s="1" t="s">
        <v>36</v>
      </c>
      <c r="S105" s="1" t="s">
        <v>36</v>
      </c>
      <c r="T105" s="1" t="s">
        <v>51</v>
      </c>
      <c r="U105">
        <v>18.2</v>
      </c>
      <c r="V105" s="1" t="s">
        <v>130</v>
      </c>
      <c r="W105" s="1" t="s">
        <v>36</v>
      </c>
      <c r="X105">
        <v>14119</v>
      </c>
      <c r="Y105" s="1" t="s">
        <v>39</v>
      </c>
      <c r="Z105" s="1" t="s">
        <v>39</v>
      </c>
      <c r="AA105">
        <v>1</v>
      </c>
      <c r="AB105" s="1" t="s">
        <v>481</v>
      </c>
      <c r="AC105" s="1" t="s">
        <v>483</v>
      </c>
      <c r="AD105" s="1" t="str">
        <f>IF(AC105="no", "", IF(A105="Australia", "Low-Density Developed Outlier", IF(A105="Liechtenstein", "Ultra-Wealthy Microstate", IF(A105="Monaco", "Extreme Density Microstate", IF(A105="Singapore", "High-Density City-State", "Unclassified Outlier")))))</f>
        <v/>
      </c>
    </row>
    <row r="106" spans="1:30" x14ac:dyDescent="0.35">
      <c r="A106" s="1" t="s">
        <v>299</v>
      </c>
      <c r="B106" s="1" t="s">
        <v>300</v>
      </c>
      <c r="C106" s="1" t="s">
        <v>42</v>
      </c>
      <c r="D106" s="1" t="s">
        <v>57</v>
      </c>
      <c r="E106">
        <v>7.93</v>
      </c>
      <c r="F106" s="1" t="s">
        <v>43</v>
      </c>
      <c r="G106" s="1" t="s">
        <v>59</v>
      </c>
      <c r="H106">
        <v>35.897799999999997</v>
      </c>
      <c r="I106">
        <v>14.512499999999999</v>
      </c>
      <c r="J106">
        <v>316</v>
      </c>
      <c r="K106">
        <v>523417</v>
      </c>
      <c r="L106">
        <v>14786156563</v>
      </c>
      <c r="M106">
        <v>0.32</v>
      </c>
      <c r="N106">
        <v>28249.29</v>
      </c>
      <c r="O106">
        <v>82.3</v>
      </c>
      <c r="P106" s="1" t="s">
        <v>33</v>
      </c>
      <c r="Q106" s="1" t="s">
        <v>34</v>
      </c>
      <c r="R106" s="1" t="s">
        <v>35</v>
      </c>
      <c r="S106" s="1" t="s">
        <v>36</v>
      </c>
      <c r="T106" s="1" t="s">
        <v>44</v>
      </c>
      <c r="U106">
        <v>1656.4</v>
      </c>
      <c r="V106" s="1" t="s">
        <v>45</v>
      </c>
      <c r="W106" s="1" t="s">
        <v>35</v>
      </c>
      <c r="X106">
        <v>46791635</v>
      </c>
      <c r="Y106" s="1" t="s">
        <v>47</v>
      </c>
      <c r="Z106" s="1" t="s">
        <v>47</v>
      </c>
      <c r="AA106">
        <v>2</v>
      </c>
      <c r="AB106" s="1" t="s">
        <v>479</v>
      </c>
      <c r="AC106" s="1" t="s">
        <v>483</v>
      </c>
      <c r="AD106" s="1" t="str">
        <f>IF(AC106="no", "", IF(A106="Australia", "Low-Density Developed Outlier", IF(A106="Liechtenstein", "Ultra-Wealthy Microstate", IF(A106="Monaco", "Extreme Density Microstate", IF(A106="Singapore", "High-Density City-State", "Unclassified Outlier")))))</f>
        <v/>
      </c>
    </row>
    <row r="107" spans="1:30" x14ac:dyDescent="0.35">
      <c r="A107" s="1" t="s">
        <v>301</v>
      </c>
      <c r="B107" s="1" t="s">
        <v>302</v>
      </c>
      <c r="C107" s="1" t="s">
        <v>50</v>
      </c>
      <c r="D107" s="1" t="s">
        <v>57</v>
      </c>
      <c r="E107">
        <v>5.39</v>
      </c>
      <c r="F107" s="1" t="s">
        <v>63</v>
      </c>
      <c r="G107" s="1" t="s">
        <v>32</v>
      </c>
      <c r="H107">
        <v>7.09</v>
      </c>
      <c r="I107">
        <v>171.38</v>
      </c>
      <c r="J107">
        <v>181</v>
      </c>
      <c r="K107">
        <v>41569</v>
      </c>
      <c r="L107">
        <v>221278000</v>
      </c>
      <c r="M107">
        <v>0.64</v>
      </c>
      <c r="N107">
        <v>5323.15</v>
      </c>
      <c r="O107">
        <v>65.2</v>
      </c>
      <c r="P107" s="1" t="s">
        <v>33</v>
      </c>
      <c r="Q107" s="1" t="s">
        <v>34</v>
      </c>
      <c r="R107" s="1" t="s">
        <v>36</v>
      </c>
      <c r="S107" s="1" t="s">
        <v>36</v>
      </c>
      <c r="T107" s="1" t="s">
        <v>84</v>
      </c>
      <c r="U107">
        <v>229.7</v>
      </c>
      <c r="V107" s="1" t="s">
        <v>202</v>
      </c>
      <c r="W107" s="1" t="s">
        <v>35</v>
      </c>
      <c r="X107">
        <v>1222530</v>
      </c>
      <c r="Y107" s="1" t="s">
        <v>46</v>
      </c>
      <c r="Z107" s="1" t="s">
        <v>80</v>
      </c>
      <c r="AA107">
        <v>1</v>
      </c>
      <c r="AB107" s="1" t="s">
        <v>481</v>
      </c>
      <c r="AC107" s="1" t="s">
        <v>483</v>
      </c>
      <c r="AD107" s="1" t="str">
        <f>IF(AC107="no", "", IF(A107="Australia", "Low-Density Developed Outlier", IF(A107="Liechtenstein", "Ultra-Wealthy Microstate", IF(A107="Monaco", "Extreme Density Microstate", IF(A107="Singapore", "High-Density City-State", "Unclassified Outlier")))))</f>
        <v/>
      </c>
    </row>
    <row r="108" spans="1:30" x14ac:dyDescent="0.35">
      <c r="A108" s="1" t="s">
        <v>303</v>
      </c>
      <c r="B108" s="1" t="s">
        <v>304</v>
      </c>
      <c r="C108" s="1" t="s">
        <v>135</v>
      </c>
      <c r="D108" s="1" t="s">
        <v>30</v>
      </c>
      <c r="E108">
        <v>3.96</v>
      </c>
      <c r="F108" s="1" t="s">
        <v>31</v>
      </c>
      <c r="G108" s="1" t="s">
        <v>32</v>
      </c>
      <c r="H108">
        <v>18.085799999999999</v>
      </c>
      <c r="I108">
        <v>-15.9785</v>
      </c>
      <c r="J108">
        <v>1030700</v>
      </c>
      <c r="K108">
        <v>4736139</v>
      </c>
      <c r="L108">
        <v>7593752450</v>
      </c>
      <c r="M108">
        <v>0.39</v>
      </c>
      <c r="N108">
        <v>1603.36</v>
      </c>
      <c r="O108">
        <v>64.7</v>
      </c>
      <c r="P108" s="1" t="s">
        <v>69</v>
      </c>
      <c r="Q108" s="1" t="s">
        <v>34</v>
      </c>
      <c r="R108" s="1" t="s">
        <v>36</v>
      </c>
      <c r="S108" s="1" t="s">
        <v>36</v>
      </c>
      <c r="T108" s="1" t="s">
        <v>51</v>
      </c>
      <c r="U108">
        <v>4.5999999999999996</v>
      </c>
      <c r="V108" s="1" t="s">
        <v>130</v>
      </c>
      <c r="W108" s="1" t="s">
        <v>35</v>
      </c>
      <c r="X108">
        <v>7368</v>
      </c>
      <c r="Y108" s="1" t="s">
        <v>53</v>
      </c>
      <c r="Z108" s="1" t="s">
        <v>39</v>
      </c>
      <c r="AA108">
        <v>1</v>
      </c>
      <c r="AB108" s="1" t="s">
        <v>481</v>
      </c>
      <c r="AC108" s="1" t="s">
        <v>483</v>
      </c>
      <c r="AD108" s="1" t="str">
        <f>IF(AC108="no", "", IF(A108="Australia", "Low-Density Developed Outlier", IF(A108="Liechtenstein", "Ultra-Wealthy Microstate", IF(A108="Monaco", "Extreme Density Microstate", IF(A108="Singapore", "High-Density City-State", "Unclassified Outlier")))))</f>
        <v/>
      </c>
    </row>
    <row r="109" spans="1:30" x14ac:dyDescent="0.35">
      <c r="A109" s="1" t="s">
        <v>305</v>
      </c>
      <c r="B109" s="1" t="s">
        <v>306</v>
      </c>
      <c r="C109" s="1" t="s">
        <v>42</v>
      </c>
      <c r="D109" s="1" t="s">
        <v>240</v>
      </c>
      <c r="E109">
        <v>8.23</v>
      </c>
      <c r="F109" s="1" t="s">
        <v>58</v>
      </c>
      <c r="G109" s="1" t="s">
        <v>32</v>
      </c>
      <c r="H109">
        <v>-20.16</v>
      </c>
      <c r="I109">
        <v>57.5</v>
      </c>
      <c r="J109">
        <v>2040</v>
      </c>
      <c r="K109">
        <v>1262523</v>
      </c>
      <c r="L109">
        <v>14180444557</v>
      </c>
      <c r="M109">
        <v>0.42</v>
      </c>
      <c r="N109">
        <v>11231.83</v>
      </c>
      <c r="O109">
        <v>74.400000000000006</v>
      </c>
      <c r="P109" s="1" t="s">
        <v>33</v>
      </c>
      <c r="Q109" s="1" t="s">
        <v>64</v>
      </c>
      <c r="R109" s="1" t="s">
        <v>36</v>
      </c>
      <c r="S109" s="1" t="s">
        <v>36</v>
      </c>
      <c r="T109" s="1" t="s">
        <v>51</v>
      </c>
      <c r="U109">
        <v>618.9</v>
      </c>
      <c r="V109" s="1" t="s">
        <v>118</v>
      </c>
      <c r="W109" s="1" t="s">
        <v>35</v>
      </c>
      <c r="X109">
        <v>6951198</v>
      </c>
      <c r="Y109" s="1" t="s">
        <v>46</v>
      </c>
      <c r="Z109" s="1" t="s">
        <v>80</v>
      </c>
      <c r="AA109">
        <v>0</v>
      </c>
      <c r="AB109" s="1" t="s">
        <v>480</v>
      </c>
      <c r="AC109" s="1" t="s">
        <v>483</v>
      </c>
      <c r="AD109" s="1" t="str">
        <f>IF(AC109="no", "", IF(A109="Australia", "Low-Density Developed Outlier", IF(A109="Liechtenstein", "Ultra-Wealthy Microstate", IF(A109="Monaco", "Extreme Density Microstate", IF(A109="Singapore", "High-Density City-State", "Unclassified Outlier")))))</f>
        <v/>
      </c>
    </row>
    <row r="110" spans="1:30" x14ac:dyDescent="0.35">
      <c r="A110" s="1" t="s">
        <v>307</v>
      </c>
      <c r="B110" s="1" t="s">
        <v>308</v>
      </c>
      <c r="C110" s="1" t="s">
        <v>74</v>
      </c>
      <c r="D110" s="1" t="s">
        <v>57</v>
      </c>
      <c r="E110">
        <v>5.32</v>
      </c>
      <c r="F110" s="1" t="s">
        <v>63</v>
      </c>
      <c r="G110" s="1" t="s">
        <v>32</v>
      </c>
      <c r="H110">
        <v>19.43</v>
      </c>
      <c r="I110">
        <v>-99.13</v>
      </c>
      <c r="J110">
        <v>1972550</v>
      </c>
      <c r="K110">
        <v>127504125</v>
      </c>
      <c r="L110">
        <v>1258286717125</v>
      </c>
      <c r="M110">
        <v>0.55000000000000004</v>
      </c>
      <c r="N110">
        <v>9868.6</v>
      </c>
      <c r="O110">
        <v>75</v>
      </c>
      <c r="P110" s="1" t="s">
        <v>69</v>
      </c>
      <c r="Q110" s="1" t="s">
        <v>34</v>
      </c>
      <c r="R110" s="1" t="s">
        <v>36</v>
      </c>
      <c r="S110" s="1" t="s">
        <v>36</v>
      </c>
      <c r="T110" s="1" t="s">
        <v>70</v>
      </c>
      <c r="U110">
        <v>64.599999999999994</v>
      </c>
      <c r="V110" s="1" t="s">
        <v>71</v>
      </c>
      <c r="W110" s="1" t="s">
        <v>35</v>
      </c>
      <c r="X110">
        <v>637899</v>
      </c>
      <c r="Y110" s="1" t="s">
        <v>46</v>
      </c>
      <c r="Z110" s="1" t="s">
        <v>47</v>
      </c>
      <c r="AA110">
        <v>3</v>
      </c>
      <c r="AB110" s="1" t="s">
        <v>478</v>
      </c>
      <c r="AC110" s="1" t="s">
        <v>483</v>
      </c>
      <c r="AD110" s="1" t="str">
        <f>IF(AC110="no", "", IF(A110="Australia", "Low-Density Developed Outlier", IF(A110="Liechtenstein", "Ultra-Wealthy Microstate", IF(A110="Monaco", "Extreme Density Microstate", IF(A110="Singapore", "High-Density City-State", "Unclassified Outlier")))))</f>
        <v/>
      </c>
    </row>
    <row r="111" spans="1:30" x14ac:dyDescent="0.35">
      <c r="A111" s="1" t="s">
        <v>309</v>
      </c>
      <c r="B111" s="1" t="s">
        <v>310</v>
      </c>
      <c r="C111" s="1" t="s">
        <v>311</v>
      </c>
      <c r="D111" s="1" t="s">
        <v>57</v>
      </c>
      <c r="E111">
        <v>5.97</v>
      </c>
      <c r="F111" s="1" t="s">
        <v>63</v>
      </c>
      <c r="G111" s="1" t="s">
        <v>32</v>
      </c>
      <c r="H111">
        <v>6.9177999999999997</v>
      </c>
      <c r="I111">
        <v>158.185</v>
      </c>
      <c r="J111">
        <v>702</v>
      </c>
      <c r="K111">
        <v>114164</v>
      </c>
      <c r="L111">
        <v>401932279</v>
      </c>
      <c r="M111">
        <v>0.31</v>
      </c>
      <c r="N111">
        <v>3520.66</v>
      </c>
      <c r="O111">
        <v>67.8</v>
      </c>
      <c r="P111" s="1" t="s">
        <v>33</v>
      </c>
      <c r="Q111" s="1" t="s">
        <v>34</v>
      </c>
      <c r="R111" s="1" t="s">
        <v>36</v>
      </c>
      <c r="S111" s="1" t="s">
        <v>36</v>
      </c>
      <c r="T111" s="1" t="s">
        <v>84</v>
      </c>
      <c r="U111">
        <v>162.6</v>
      </c>
      <c r="V111" s="1" t="s">
        <v>202</v>
      </c>
      <c r="W111" s="1" t="s">
        <v>35</v>
      </c>
      <c r="X111">
        <v>572553</v>
      </c>
      <c r="Y111" s="1" t="s">
        <v>53</v>
      </c>
      <c r="Z111" s="1" t="s">
        <v>80</v>
      </c>
      <c r="AA111">
        <v>0</v>
      </c>
      <c r="AB111" s="1" t="s">
        <v>480</v>
      </c>
      <c r="AC111" s="1" t="s">
        <v>483</v>
      </c>
      <c r="AD111" s="1" t="str">
        <f>IF(AC111="no", "", IF(A111="Australia", "Low-Density Developed Outlier", IF(A111="Liechtenstein", "Ultra-Wealthy Microstate", IF(A111="Monaco", "Extreme Density Microstate", IF(A111="Singapore", "High-Density City-State", "Unclassified Outlier")))))</f>
        <v/>
      </c>
    </row>
    <row r="112" spans="1:30" x14ac:dyDescent="0.35">
      <c r="A112" s="1" t="s">
        <v>312</v>
      </c>
      <c r="B112" s="1" t="s">
        <v>313</v>
      </c>
      <c r="C112" s="1" t="s">
        <v>42</v>
      </c>
      <c r="D112" s="1" t="s">
        <v>57</v>
      </c>
      <c r="E112">
        <v>6.04</v>
      </c>
      <c r="F112" s="1" t="s">
        <v>43</v>
      </c>
      <c r="G112" s="1" t="s">
        <v>32</v>
      </c>
      <c r="H112">
        <v>47.01</v>
      </c>
      <c r="I112">
        <v>28.86</v>
      </c>
      <c r="J112">
        <v>33844</v>
      </c>
      <c r="K112">
        <v>2592477</v>
      </c>
      <c r="L112">
        <v>11955435457</v>
      </c>
      <c r="M112">
        <v>0.74</v>
      </c>
      <c r="N112">
        <v>4611.59</v>
      </c>
      <c r="O112">
        <v>71.8</v>
      </c>
      <c r="P112" s="1" t="s">
        <v>33</v>
      </c>
      <c r="Q112" s="1" t="s">
        <v>34</v>
      </c>
      <c r="R112" s="1" t="s">
        <v>35</v>
      </c>
      <c r="S112" s="1" t="s">
        <v>36</v>
      </c>
      <c r="T112" s="1" t="s">
        <v>44</v>
      </c>
      <c r="U112">
        <v>76.599999999999994</v>
      </c>
      <c r="V112" s="1" t="s">
        <v>101</v>
      </c>
      <c r="W112" s="1" t="s">
        <v>36</v>
      </c>
      <c r="X112">
        <v>353251</v>
      </c>
      <c r="Y112" s="1" t="s">
        <v>46</v>
      </c>
      <c r="Z112" s="1" t="s">
        <v>80</v>
      </c>
      <c r="AA112">
        <v>3</v>
      </c>
      <c r="AB112" s="1" t="s">
        <v>478</v>
      </c>
      <c r="AC112" s="1" t="s">
        <v>483</v>
      </c>
      <c r="AD112" s="1" t="str">
        <f>IF(AC112="no", "", IF(A112="Australia", "Low-Density Developed Outlier", IF(A112="Liechtenstein", "Ultra-Wealthy Microstate", IF(A112="Monaco", "Extreme Density Microstate", IF(A112="Singapore", "High-Density City-State", "Unclassified Outlier")))))</f>
        <v/>
      </c>
    </row>
    <row r="113" spans="1:30" x14ac:dyDescent="0.35">
      <c r="A113" s="1" t="s">
        <v>314</v>
      </c>
      <c r="B113" s="1" t="s">
        <v>315</v>
      </c>
      <c r="C113" s="1" t="s">
        <v>68</v>
      </c>
      <c r="D113" s="1" t="s">
        <v>57</v>
      </c>
      <c r="E113">
        <v>8.61</v>
      </c>
      <c r="F113" s="1" t="s">
        <v>58</v>
      </c>
      <c r="G113" s="1" t="s">
        <v>59</v>
      </c>
      <c r="H113">
        <v>43.731000000000002</v>
      </c>
      <c r="I113">
        <v>7.4248000000000003</v>
      </c>
      <c r="J113">
        <v>2</v>
      </c>
      <c r="K113">
        <v>36469</v>
      </c>
      <c r="L113">
        <v>7184844193</v>
      </c>
      <c r="M113">
        <v>0</v>
      </c>
      <c r="N113">
        <v>197012.37</v>
      </c>
      <c r="O113">
        <v>85</v>
      </c>
      <c r="P113" s="1" t="s">
        <v>33</v>
      </c>
      <c r="Q113" s="1" t="s">
        <v>34</v>
      </c>
      <c r="R113" s="1" t="s">
        <v>35</v>
      </c>
      <c r="S113" s="1" t="s">
        <v>35</v>
      </c>
      <c r="T113" s="1" t="s">
        <v>44</v>
      </c>
      <c r="U113">
        <v>18234.5</v>
      </c>
      <c r="V113" s="1" t="s">
        <v>60</v>
      </c>
      <c r="W113" s="1" t="s">
        <v>35</v>
      </c>
      <c r="X113">
        <v>3592422097</v>
      </c>
      <c r="Y113" s="1" t="s">
        <v>47</v>
      </c>
      <c r="Z113" s="1" t="s">
        <v>47</v>
      </c>
      <c r="AA113">
        <v>2</v>
      </c>
      <c r="AB113" s="1" t="s">
        <v>479</v>
      </c>
      <c r="AC113" s="1" t="s">
        <v>484</v>
      </c>
      <c r="AD113" s="1" t="str">
        <f>IF(AC113="no", "", IF(A113="Australia", "Low-Density Developed Outlier", IF(A113="Liechtenstein", "Ultra-Wealthy Microstate", IF(A113="Monaco", "Extreme Density Microstate", IF(A113="Singapore", "High-Density City-State", "Unclassified Outlier")))))</f>
        <v>Extreme Density Microstate</v>
      </c>
    </row>
    <row r="114" spans="1:30" x14ac:dyDescent="0.35">
      <c r="A114" s="1" t="s">
        <v>316</v>
      </c>
      <c r="B114" s="1" t="s">
        <v>317</v>
      </c>
      <c r="C114" s="1" t="s">
        <v>135</v>
      </c>
      <c r="D114" s="1" t="s">
        <v>110</v>
      </c>
      <c r="E114">
        <v>6.53</v>
      </c>
      <c r="F114" s="1" t="s">
        <v>43</v>
      </c>
      <c r="G114" s="1" t="s">
        <v>32</v>
      </c>
      <c r="H114">
        <v>47.92</v>
      </c>
      <c r="I114">
        <v>106.92</v>
      </c>
      <c r="J114">
        <v>1564116</v>
      </c>
      <c r="K114">
        <v>3398366</v>
      </c>
      <c r="L114">
        <v>13852850259</v>
      </c>
      <c r="M114">
        <v>0.72</v>
      </c>
      <c r="N114">
        <v>4076.33</v>
      </c>
      <c r="O114">
        <v>69.7</v>
      </c>
      <c r="P114" s="1" t="s">
        <v>33</v>
      </c>
      <c r="Q114" s="1" t="s">
        <v>34</v>
      </c>
      <c r="R114" s="1" t="s">
        <v>35</v>
      </c>
      <c r="S114" s="1" t="s">
        <v>36</v>
      </c>
      <c r="T114" s="1" t="s">
        <v>37</v>
      </c>
      <c r="U114">
        <v>2.2000000000000002</v>
      </c>
      <c r="V114" s="1" t="s">
        <v>152</v>
      </c>
      <c r="W114" s="1" t="s">
        <v>36</v>
      </c>
      <c r="X114">
        <v>8857</v>
      </c>
      <c r="Y114" s="1" t="s">
        <v>46</v>
      </c>
      <c r="Z114" s="1" t="s">
        <v>80</v>
      </c>
      <c r="AA114">
        <v>3</v>
      </c>
      <c r="AB114" s="1" t="s">
        <v>478</v>
      </c>
      <c r="AC114" s="1" t="s">
        <v>483</v>
      </c>
      <c r="AD114" s="1" t="str">
        <f>IF(AC114="no", "", IF(A114="Australia", "Low-Density Developed Outlier", IF(A114="Liechtenstein", "Ultra-Wealthy Microstate", IF(A114="Monaco", "Extreme Density Microstate", IF(A114="Singapore", "High-Density City-State", "Unclassified Outlier")))))</f>
        <v/>
      </c>
    </row>
    <row r="115" spans="1:30" x14ac:dyDescent="0.35">
      <c r="A115" s="1" t="s">
        <v>318</v>
      </c>
      <c r="B115" s="1" t="s">
        <v>319</v>
      </c>
      <c r="C115" s="1" t="s">
        <v>42</v>
      </c>
      <c r="D115" s="1" t="s">
        <v>57</v>
      </c>
      <c r="E115">
        <v>6.73</v>
      </c>
      <c r="F115" s="1" t="s">
        <v>43</v>
      </c>
      <c r="G115" s="1" t="s">
        <v>32</v>
      </c>
      <c r="H115">
        <v>42.441400000000002</v>
      </c>
      <c r="I115">
        <v>19.262799999999999</v>
      </c>
      <c r="J115">
        <v>13883</v>
      </c>
      <c r="K115">
        <v>616159</v>
      </c>
      <c r="L115">
        <v>5494736901</v>
      </c>
      <c r="M115">
        <v>0.19</v>
      </c>
      <c r="N115">
        <v>8917.73</v>
      </c>
      <c r="O115">
        <v>76.8</v>
      </c>
      <c r="P115" s="1" t="s">
        <v>33</v>
      </c>
      <c r="Q115" s="1" t="s">
        <v>34</v>
      </c>
      <c r="R115" s="1" t="s">
        <v>35</v>
      </c>
      <c r="S115" s="1" t="s">
        <v>35</v>
      </c>
      <c r="T115" s="1" t="s">
        <v>44</v>
      </c>
      <c r="U115">
        <v>44.4</v>
      </c>
      <c r="V115" s="1" t="s">
        <v>45</v>
      </c>
      <c r="W115" s="1" t="s">
        <v>35</v>
      </c>
      <c r="X115">
        <v>395789</v>
      </c>
      <c r="Y115" s="1" t="s">
        <v>46</v>
      </c>
      <c r="Z115" s="1" t="s">
        <v>47</v>
      </c>
      <c r="AA115">
        <v>2</v>
      </c>
      <c r="AB115" s="1" t="s">
        <v>479</v>
      </c>
      <c r="AC115" s="1" t="s">
        <v>483</v>
      </c>
      <c r="AD115" s="1" t="str">
        <f>IF(AC115="no", "", IF(A115="Australia", "Low-Density Developed Outlier", IF(A115="Liechtenstein", "Ultra-Wealthy Microstate", IF(A115="Monaco", "Extreme Density Microstate", IF(A115="Singapore", "High-Density City-State", "Unclassified Outlier")))))</f>
        <v/>
      </c>
    </row>
    <row r="116" spans="1:30" x14ac:dyDescent="0.35">
      <c r="A116" s="1" t="s">
        <v>320</v>
      </c>
      <c r="B116" s="1" t="s">
        <v>321</v>
      </c>
      <c r="C116" s="1" t="s">
        <v>68</v>
      </c>
      <c r="D116" s="1" t="s">
        <v>30</v>
      </c>
      <c r="E116">
        <v>4.97</v>
      </c>
      <c r="F116" s="1" t="s">
        <v>63</v>
      </c>
      <c r="G116" s="1" t="s">
        <v>32</v>
      </c>
      <c r="H116">
        <v>34.025300000000001</v>
      </c>
      <c r="I116">
        <v>-6.8361000000000001</v>
      </c>
      <c r="J116">
        <v>446550</v>
      </c>
      <c r="K116">
        <v>37457971</v>
      </c>
      <c r="L116">
        <v>118725279596</v>
      </c>
      <c r="M116">
        <v>0.69</v>
      </c>
      <c r="N116">
        <v>3169.56</v>
      </c>
      <c r="O116">
        <v>76.5</v>
      </c>
      <c r="P116" s="1" t="s">
        <v>69</v>
      </c>
      <c r="Q116" s="1" t="s">
        <v>34</v>
      </c>
      <c r="R116" s="1" t="s">
        <v>35</v>
      </c>
      <c r="S116" s="1" t="s">
        <v>36</v>
      </c>
      <c r="T116" s="1" t="s">
        <v>51</v>
      </c>
      <c r="U116">
        <v>83.9</v>
      </c>
      <c r="V116" s="1" t="s">
        <v>52</v>
      </c>
      <c r="W116" s="1" t="s">
        <v>35</v>
      </c>
      <c r="X116">
        <v>265872</v>
      </c>
      <c r="Y116" s="1" t="s">
        <v>53</v>
      </c>
      <c r="Z116" s="1" t="s">
        <v>47</v>
      </c>
      <c r="AA116">
        <v>3</v>
      </c>
      <c r="AB116" s="1" t="s">
        <v>478</v>
      </c>
      <c r="AC116" s="1" t="s">
        <v>483</v>
      </c>
      <c r="AD116" s="1" t="str">
        <f>IF(AC116="no", "", IF(A116="Australia", "Low-Density Developed Outlier", IF(A116="Liechtenstein", "Ultra-Wealthy Microstate", IF(A116="Monaco", "Extreme Density Microstate", IF(A116="Singapore", "High-Density City-State", "Unclassified Outlier")))))</f>
        <v/>
      </c>
    </row>
    <row r="117" spans="1:30" x14ac:dyDescent="0.35">
      <c r="A117" s="1" t="s">
        <v>322</v>
      </c>
      <c r="B117" s="1" t="s">
        <v>323</v>
      </c>
      <c r="C117" s="1" t="s">
        <v>50</v>
      </c>
      <c r="D117" s="1" t="s">
        <v>57</v>
      </c>
      <c r="E117">
        <v>3.38</v>
      </c>
      <c r="F117" s="1" t="s">
        <v>31</v>
      </c>
      <c r="G117" s="1" t="s">
        <v>32</v>
      </c>
      <c r="H117">
        <v>-25.97</v>
      </c>
      <c r="I117">
        <v>32.57</v>
      </c>
      <c r="J117">
        <v>801590</v>
      </c>
      <c r="K117">
        <v>32969518</v>
      </c>
      <c r="L117">
        <v>14934159926</v>
      </c>
      <c r="M117">
        <v>0.64</v>
      </c>
      <c r="N117">
        <v>452.97</v>
      </c>
      <c r="O117">
        <v>60.2</v>
      </c>
      <c r="P117" s="1" t="s">
        <v>33</v>
      </c>
      <c r="Q117" s="1" t="s">
        <v>64</v>
      </c>
      <c r="R117" s="1" t="s">
        <v>35</v>
      </c>
      <c r="S117" s="1" t="s">
        <v>36</v>
      </c>
      <c r="T117" s="1" t="s">
        <v>51</v>
      </c>
      <c r="U117">
        <v>41.1</v>
      </c>
      <c r="V117" s="1" t="s">
        <v>118</v>
      </c>
      <c r="W117" s="1" t="s">
        <v>35</v>
      </c>
      <c r="X117">
        <v>18631</v>
      </c>
      <c r="Y117" s="1" t="s">
        <v>39</v>
      </c>
      <c r="Z117" s="1" t="s">
        <v>39</v>
      </c>
      <c r="AA117">
        <v>1</v>
      </c>
      <c r="AB117" s="1" t="s">
        <v>481</v>
      </c>
      <c r="AC117" s="1" t="s">
        <v>483</v>
      </c>
      <c r="AD117" s="1" t="str">
        <f>IF(AC117="no", "", IF(A117="Australia", "Low-Density Developed Outlier", IF(A117="Liechtenstein", "Ultra-Wealthy Microstate", IF(A117="Monaco", "Extreme Density Microstate", IF(A117="Singapore", "High-Density City-State", "Unclassified Outlier")))))</f>
        <v/>
      </c>
    </row>
    <row r="118" spans="1:30" x14ac:dyDescent="0.35">
      <c r="A118" s="1" t="s">
        <v>324</v>
      </c>
      <c r="B118" s="1" t="s">
        <v>325</v>
      </c>
      <c r="C118" s="1" t="s">
        <v>129</v>
      </c>
      <c r="D118" s="1" t="s">
        <v>110</v>
      </c>
      <c r="E118">
        <v>0.96</v>
      </c>
      <c r="F118" s="1" t="s">
        <v>31</v>
      </c>
      <c r="G118" s="1" t="s">
        <v>32</v>
      </c>
      <c r="H118">
        <v>19.747499999999999</v>
      </c>
      <c r="I118">
        <v>96.114999999999995</v>
      </c>
      <c r="J118">
        <v>676577</v>
      </c>
      <c r="K118">
        <v>54179306</v>
      </c>
      <c r="L118">
        <v>76085852617</v>
      </c>
      <c r="M118">
        <v>0.2</v>
      </c>
      <c r="N118">
        <v>1404.33</v>
      </c>
      <c r="O118">
        <v>66.900000000000006</v>
      </c>
      <c r="P118" s="1" t="s">
        <v>33</v>
      </c>
      <c r="Q118" s="1" t="s">
        <v>34</v>
      </c>
      <c r="R118" s="1" t="s">
        <v>36</v>
      </c>
      <c r="S118" s="1" t="s">
        <v>35</v>
      </c>
      <c r="T118" s="1" t="s">
        <v>37</v>
      </c>
      <c r="U118">
        <v>80.099999999999994</v>
      </c>
      <c r="V118" s="1" t="s">
        <v>38</v>
      </c>
      <c r="W118" s="1" t="s">
        <v>35</v>
      </c>
      <c r="X118">
        <v>112457</v>
      </c>
      <c r="Y118" s="1" t="s">
        <v>53</v>
      </c>
      <c r="Z118" s="1" t="s">
        <v>80</v>
      </c>
      <c r="AA118">
        <v>0</v>
      </c>
      <c r="AB118" s="1" t="s">
        <v>480</v>
      </c>
      <c r="AC118" s="1" t="s">
        <v>483</v>
      </c>
      <c r="AD118" s="1" t="str">
        <f>IF(AC118="no", "", IF(A118="Australia", "Low-Density Developed Outlier", IF(A118="Liechtenstein", "Ultra-Wealthy Microstate", IF(A118="Monaco", "Extreme Density Microstate", IF(A118="Singapore", "High-Density City-State", "Unclassified Outlier")))))</f>
        <v/>
      </c>
    </row>
    <row r="119" spans="1:30" x14ac:dyDescent="0.35">
      <c r="A119" s="1" t="s">
        <v>326</v>
      </c>
      <c r="B119" s="1" t="s">
        <v>327</v>
      </c>
      <c r="C119" s="1" t="s">
        <v>50</v>
      </c>
      <c r="D119" s="1" t="s">
        <v>57</v>
      </c>
      <c r="E119">
        <v>6.48</v>
      </c>
      <c r="F119" s="1" t="s">
        <v>43</v>
      </c>
      <c r="G119" s="1" t="s">
        <v>32</v>
      </c>
      <c r="H119">
        <v>-22.57</v>
      </c>
      <c r="I119">
        <v>17.083600000000001</v>
      </c>
      <c r="J119">
        <v>825615</v>
      </c>
      <c r="K119">
        <v>2567012</v>
      </c>
      <c r="L119">
        <v>12366527719</v>
      </c>
      <c r="M119">
        <v>0.47</v>
      </c>
      <c r="N119">
        <v>4817.4799999999996</v>
      </c>
      <c r="O119">
        <v>63.4</v>
      </c>
      <c r="P119" s="1" t="s">
        <v>33</v>
      </c>
      <c r="Q119" s="1" t="s">
        <v>64</v>
      </c>
      <c r="R119" s="1" t="s">
        <v>36</v>
      </c>
      <c r="S119" s="1" t="s">
        <v>36</v>
      </c>
      <c r="T119" s="1" t="s">
        <v>51</v>
      </c>
      <c r="U119">
        <v>3.1</v>
      </c>
      <c r="V119" s="1" t="s">
        <v>118</v>
      </c>
      <c r="W119" s="1" t="s">
        <v>35</v>
      </c>
      <c r="X119">
        <v>14979</v>
      </c>
      <c r="Y119" s="1" t="s">
        <v>46</v>
      </c>
      <c r="Z119" s="1" t="s">
        <v>39</v>
      </c>
      <c r="AA119">
        <v>1</v>
      </c>
      <c r="AB119" s="1" t="s">
        <v>481</v>
      </c>
      <c r="AC119" s="1" t="s">
        <v>483</v>
      </c>
      <c r="AD119" s="1" t="str">
        <f>IF(AC119="no", "", IF(A119="Australia", "Low-Density Developed Outlier", IF(A119="Liechtenstein", "Ultra-Wealthy Microstate", IF(A119="Monaco", "Extreme Density Microstate", IF(A119="Singapore", "High-Density City-State", "Unclassified Outlier")))))</f>
        <v/>
      </c>
    </row>
    <row r="120" spans="1:30" x14ac:dyDescent="0.35">
      <c r="A120" s="1" t="s">
        <v>328</v>
      </c>
      <c r="B120" s="1" t="s">
        <v>329</v>
      </c>
      <c r="C120" s="1" t="s">
        <v>42</v>
      </c>
      <c r="D120" s="1" t="s">
        <v>57</v>
      </c>
      <c r="E120">
        <v>5.39</v>
      </c>
      <c r="F120" s="1" t="s">
        <v>63</v>
      </c>
      <c r="G120" s="1" t="s">
        <v>32</v>
      </c>
      <c r="H120">
        <v>-0.53</v>
      </c>
      <c r="I120">
        <v>166.93</v>
      </c>
      <c r="J120">
        <v>21</v>
      </c>
      <c r="K120">
        <v>12668</v>
      </c>
      <c r="L120">
        <v>133000000</v>
      </c>
      <c r="M120">
        <v>0.05</v>
      </c>
      <c r="N120">
        <v>10498.89</v>
      </c>
      <c r="O120">
        <v>64</v>
      </c>
      <c r="P120" s="1" t="s">
        <v>33</v>
      </c>
      <c r="Q120" s="1" t="s">
        <v>64</v>
      </c>
      <c r="R120" s="1" t="s">
        <v>36</v>
      </c>
      <c r="S120" s="1" t="s">
        <v>35</v>
      </c>
      <c r="T120" s="1" t="s">
        <v>84</v>
      </c>
      <c r="U120">
        <v>603.20000000000005</v>
      </c>
      <c r="V120" s="1" t="s">
        <v>202</v>
      </c>
      <c r="W120" s="1" t="s">
        <v>35</v>
      </c>
      <c r="X120">
        <v>6333333</v>
      </c>
      <c r="Y120" s="1" t="s">
        <v>46</v>
      </c>
      <c r="Z120" s="1" t="s">
        <v>39</v>
      </c>
      <c r="AA120">
        <v>0</v>
      </c>
      <c r="AB120" s="1" t="s">
        <v>480</v>
      </c>
      <c r="AC120" s="1" t="s">
        <v>483</v>
      </c>
      <c r="AD120" s="1" t="str">
        <f>IF(AC120="no", "", IF(A120="Australia", "Low-Density Developed Outlier", IF(A120="Liechtenstein", "Ultra-Wealthy Microstate", IF(A120="Monaco", "Extreme Density Microstate", IF(A120="Singapore", "High-Density City-State", "Unclassified Outlier")))))</f>
        <v/>
      </c>
    </row>
    <row r="121" spans="1:30" x14ac:dyDescent="0.35">
      <c r="A121" s="1" t="s">
        <v>330</v>
      </c>
      <c r="B121" s="1" t="s">
        <v>331</v>
      </c>
      <c r="C121" s="1" t="s">
        <v>88</v>
      </c>
      <c r="D121" s="1" t="s">
        <v>240</v>
      </c>
      <c r="E121">
        <v>4.5999999999999996</v>
      </c>
      <c r="F121" s="1" t="s">
        <v>63</v>
      </c>
      <c r="G121" s="1" t="s">
        <v>32</v>
      </c>
      <c r="H121">
        <v>27.71</v>
      </c>
      <c r="I121">
        <v>85.32</v>
      </c>
      <c r="J121">
        <v>147181</v>
      </c>
      <c r="K121">
        <v>30547580</v>
      </c>
      <c r="L121">
        <v>30641380604</v>
      </c>
      <c r="M121">
        <v>0.28999999999999998</v>
      </c>
      <c r="N121">
        <v>1003.07</v>
      </c>
      <c r="O121">
        <v>70.5</v>
      </c>
      <c r="P121" s="1" t="s">
        <v>33</v>
      </c>
      <c r="Q121" s="1" t="s">
        <v>34</v>
      </c>
      <c r="R121" s="1" t="s">
        <v>35</v>
      </c>
      <c r="S121" s="1" t="s">
        <v>36</v>
      </c>
      <c r="T121" s="1" t="s">
        <v>37</v>
      </c>
      <c r="U121">
        <v>207.6</v>
      </c>
      <c r="V121" s="1" t="s">
        <v>38</v>
      </c>
      <c r="W121" s="1" t="s">
        <v>36</v>
      </c>
      <c r="X121">
        <v>208188</v>
      </c>
      <c r="Y121" s="1" t="s">
        <v>53</v>
      </c>
      <c r="Z121" s="1" t="s">
        <v>80</v>
      </c>
      <c r="AA121">
        <v>0</v>
      </c>
      <c r="AB121" s="1" t="s">
        <v>480</v>
      </c>
      <c r="AC121" s="1" t="s">
        <v>483</v>
      </c>
      <c r="AD121" s="1" t="str">
        <f>IF(AC121="no", "", IF(A121="Australia", "Low-Density Developed Outlier", IF(A121="Liechtenstein", "Ultra-Wealthy Microstate", IF(A121="Monaco", "Extreme Density Microstate", IF(A121="Singapore", "High-Density City-State", "Unclassified Outlier")))))</f>
        <v/>
      </c>
    </row>
    <row r="122" spans="1:30" x14ac:dyDescent="0.35">
      <c r="A122" s="1" t="s">
        <v>332</v>
      </c>
      <c r="B122" s="1" t="s">
        <v>333</v>
      </c>
      <c r="C122" s="1" t="s">
        <v>68</v>
      </c>
      <c r="D122" s="1" t="s">
        <v>57</v>
      </c>
      <c r="E122">
        <v>9</v>
      </c>
      <c r="F122" s="1" t="s">
        <v>58</v>
      </c>
      <c r="G122" s="1" t="s">
        <v>59</v>
      </c>
      <c r="H122">
        <v>52.372799999999998</v>
      </c>
      <c r="I122">
        <v>4.8936000000000002</v>
      </c>
      <c r="J122">
        <v>37378</v>
      </c>
      <c r="K122">
        <v>17942942</v>
      </c>
      <c r="L122">
        <v>909070395161</v>
      </c>
      <c r="M122">
        <v>0.53</v>
      </c>
      <c r="N122">
        <v>50664.51</v>
      </c>
      <c r="O122">
        <v>81.8</v>
      </c>
      <c r="P122" s="1" t="s">
        <v>33</v>
      </c>
      <c r="Q122" s="1" t="s">
        <v>34</v>
      </c>
      <c r="R122" s="1" t="s">
        <v>35</v>
      </c>
      <c r="S122" s="1" t="s">
        <v>36</v>
      </c>
      <c r="T122" s="1" t="s">
        <v>44</v>
      </c>
      <c r="U122">
        <v>480</v>
      </c>
      <c r="V122" s="1" t="s">
        <v>60</v>
      </c>
      <c r="W122" s="1" t="s">
        <v>35</v>
      </c>
      <c r="X122">
        <v>24321002</v>
      </c>
      <c r="Y122" s="1" t="s">
        <v>47</v>
      </c>
      <c r="Z122" s="1" t="s">
        <v>47</v>
      </c>
      <c r="AA122">
        <v>2</v>
      </c>
      <c r="AB122" s="1" t="s">
        <v>479</v>
      </c>
      <c r="AC122" s="1" t="s">
        <v>483</v>
      </c>
      <c r="AD122" s="1" t="str">
        <f>IF(AC122="no", "", IF(A122="Australia", "Low-Density Developed Outlier", IF(A122="Liechtenstein", "Ultra-Wealthy Microstate", IF(A122="Monaco", "Extreme Density Microstate", IF(A122="Singapore", "High-Density City-State", "Unclassified Outlier")))))</f>
        <v/>
      </c>
    </row>
    <row r="123" spans="1:30" x14ac:dyDescent="0.35">
      <c r="A123" s="1" t="s">
        <v>334</v>
      </c>
      <c r="B123" s="1" t="s">
        <v>335</v>
      </c>
      <c r="C123" s="1" t="s">
        <v>68</v>
      </c>
      <c r="D123" s="1" t="s">
        <v>57</v>
      </c>
      <c r="E123">
        <v>9.61</v>
      </c>
      <c r="F123" s="1" t="s">
        <v>58</v>
      </c>
      <c r="G123" s="1" t="s">
        <v>59</v>
      </c>
      <c r="H123">
        <v>-41.288899999999998</v>
      </c>
      <c r="I123">
        <v>174.77719999999999</v>
      </c>
      <c r="J123">
        <v>268021</v>
      </c>
      <c r="K123">
        <v>5124100</v>
      </c>
      <c r="L123">
        <v>206928765544</v>
      </c>
      <c r="M123">
        <v>0.41</v>
      </c>
      <c r="N123">
        <v>40383.440000000002</v>
      </c>
      <c r="O123">
        <v>81.900000000000006</v>
      </c>
      <c r="P123" s="1" t="s">
        <v>33</v>
      </c>
      <c r="Q123" s="1" t="s">
        <v>64</v>
      </c>
      <c r="R123" s="1" t="s">
        <v>35</v>
      </c>
      <c r="S123" s="1" t="s">
        <v>36</v>
      </c>
      <c r="T123" s="1" t="s">
        <v>84</v>
      </c>
      <c r="U123">
        <v>19.100000000000001</v>
      </c>
      <c r="V123" s="1" t="s">
        <v>202</v>
      </c>
      <c r="W123" s="1" t="s">
        <v>35</v>
      </c>
      <c r="X123">
        <v>772062</v>
      </c>
      <c r="Y123" s="1" t="s">
        <v>47</v>
      </c>
      <c r="Z123" s="1" t="s">
        <v>47</v>
      </c>
      <c r="AA123">
        <v>0</v>
      </c>
      <c r="AB123" s="1" t="s">
        <v>480</v>
      </c>
      <c r="AC123" s="1" t="s">
        <v>483</v>
      </c>
      <c r="AD123" s="1" t="str">
        <f>IF(AC123="no", "", IF(A123="Australia", "Low-Density Developed Outlier", IF(A123="Liechtenstein", "Ultra-Wealthy Microstate", IF(A123="Monaco", "Extreme Density Microstate", IF(A123="Singapore", "High-Density City-State", "Unclassified Outlier")))))</f>
        <v/>
      </c>
    </row>
    <row r="124" spans="1:30" x14ac:dyDescent="0.35">
      <c r="A124" s="1" t="s">
        <v>336</v>
      </c>
      <c r="B124" s="1" t="s">
        <v>337</v>
      </c>
      <c r="C124" s="1" t="s">
        <v>50</v>
      </c>
      <c r="D124" s="1" t="s">
        <v>57</v>
      </c>
      <c r="E124">
        <v>2.09</v>
      </c>
      <c r="F124" s="1" t="s">
        <v>31</v>
      </c>
      <c r="G124" s="1" t="s">
        <v>32</v>
      </c>
      <c r="H124">
        <v>12.154400000000001</v>
      </c>
      <c r="I124">
        <v>-86.273799999999994</v>
      </c>
      <c r="J124">
        <v>130375</v>
      </c>
      <c r="K124">
        <v>6948392</v>
      </c>
      <c r="L124">
        <v>12520915291</v>
      </c>
      <c r="M124">
        <v>0.42</v>
      </c>
      <c r="N124">
        <v>1801.99</v>
      </c>
      <c r="O124">
        <v>74.3</v>
      </c>
      <c r="P124" s="1" t="s">
        <v>69</v>
      </c>
      <c r="Q124" s="1" t="s">
        <v>34</v>
      </c>
      <c r="R124" s="1" t="s">
        <v>36</v>
      </c>
      <c r="S124" s="1" t="s">
        <v>36</v>
      </c>
      <c r="T124" s="1" t="s">
        <v>70</v>
      </c>
      <c r="U124">
        <v>53.3</v>
      </c>
      <c r="V124" s="1" t="s">
        <v>71</v>
      </c>
      <c r="W124" s="1" t="s">
        <v>35</v>
      </c>
      <c r="X124">
        <v>96038</v>
      </c>
      <c r="Y124" s="1" t="s">
        <v>53</v>
      </c>
      <c r="Z124" s="1" t="s">
        <v>80</v>
      </c>
      <c r="AA124">
        <v>3</v>
      </c>
      <c r="AB124" s="1" t="s">
        <v>478</v>
      </c>
      <c r="AC124" s="1" t="s">
        <v>483</v>
      </c>
      <c r="AD124" s="1" t="str">
        <f>IF(AC124="no", "", IF(A124="Australia", "Low-Density Developed Outlier", IF(A124="Liechtenstein", "Ultra-Wealthy Microstate", IF(A124="Monaco", "Extreme Density Microstate", IF(A124="Singapore", "High-Density City-State", "Unclassified Outlier")))))</f>
        <v/>
      </c>
    </row>
    <row r="125" spans="1:30" x14ac:dyDescent="0.35">
      <c r="A125" s="1" t="s">
        <v>338</v>
      </c>
      <c r="B125" s="1" t="s">
        <v>339</v>
      </c>
      <c r="C125" s="1" t="s">
        <v>129</v>
      </c>
      <c r="D125" s="1" t="s">
        <v>30</v>
      </c>
      <c r="E125">
        <v>2.2599999999999998</v>
      </c>
      <c r="F125" s="1" t="s">
        <v>31</v>
      </c>
      <c r="G125" s="1" t="s">
        <v>32</v>
      </c>
      <c r="H125">
        <v>13.51</v>
      </c>
      <c r="I125">
        <v>2.11</v>
      </c>
      <c r="J125">
        <v>1267000</v>
      </c>
      <c r="K125">
        <v>26207977</v>
      </c>
      <c r="L125">
        <v>12928145120</v>
      </c>
      <c r="M125">
        <v>0.36</v>
      </c>
      <c r="N125">
        <v>493.29</v>
      </c>
      <c r="O125">
        <v>62</v>
      </c>
      <c r="P125" s="1" t="s">
        <v>33</v>
      </c>
      <c r="Q125" s="1" t="s">
        <v>34</v>
      </c>
      <c r="R125" s="1" t="s">
        <v>36</v>
      </c>
      <c r="S125" s="1" t="s">
        <v>36</v>
      </c>
      <c r="T125" s="1" t="s">
        <v>51</v>
      </c>
      <c r="U125">
        <v>20.7</v>
      </c>
      <c r="V125" s="1" t="s">
        <v>65</v>
      </c>
      <c r="W125" s="1" t="s">
        <v>36</v>
      </c>
      <c r="X125">
        <v>10204</v>
      </c>
      <c r="Y125" s="1" t="s">
        <v>39</v>
      </c>
      <c r="Z125" s="1" t="s">
        <v>39</v>
      </c>
      <c r="AA125">
        <v>1</v>
      </c>
      <c r="AB125" s="1" t="s">
        <v>481</v>
      </c>
      <c r="AC125" s="1" t="s">
        <v>483</v>
      </c>
      <c r="AD125" s="1" t="str">
        <f>IF(AC125="no", "", IF(A125="Australia", "Low-Density Developed Outlier", IF(A125="Liechtenstein", "Ultra-Wealthy Microstate", IF(A125="Monaco", "Extreme Density Microstate", IF(A125="Singapore", "High-Density City-State", "Unclassified Outlier")))))</f>
        <v/>
      </c>
    </row>
    <row r="126" spans="1:30" x14ac:dyDescent="0.35">
      <c r="A126" s="1" t="s">
        <v>340</v>
      </c>
      <c r="B126" s="1" t="s">
        <v>341</v>
      </c>
      <c r="C126" s="1" t="s">
        <v>74</v>
      </c>
      <c r="D126" s="1" t="s">
        <v>57</v>
      </c>
      <c r="E126">
        <v>4.16</v>
      </c>
      <c r="F126" s="1" t="s">
        <v>63</v>
      </c>
      <c r="G126" s="1" t="s">
        <v>32</v>
      </c>
      <c r="H126">
        <v>9.0556000000000001</v>
      </c>
      <c r="I126">
        <v>7.4913999999999996</v>
      </c>
      <c r="J126">
        <v>923768</v>
      </c>
      <c r="K126">
        <v>218541212</v>
      </c>
      <c r="L126">
        <v>448120428859</v>
      </c>
      <c r="M126">
        <v>0.78</v>
      </c>
      <c r="N126">
        <v>2050.5100000000002</v>
      </c>
      <c r="O126">
        <v>54.3</v>
      </c>
      <c r="P126" s="1" t="s">
        <v>33</v>
      </c>
      <c r="Q126" s="1" t="s">
        <v>34</v>
      </c>
      <c r="R126" s="1" t="s">
        <v>36</v>
      </c>
      <c r="S126" s="1" t="s">
        <v>36</v>
      </c>
      <c r="T126" s="1" t="s">
        <v>51</v>
      </c>
      <c r="U126">
        <v>236.6</v>
      </c>
      <c r="V126" s="1" t="s">
        <v>65</v>
      </c>
      <c r="W126" s="1" t="s">
        <v>35</v>
      </c>
      <c r="X126">
        <v>485101</v>
      </c>
      <c r="Y126" s="1" t="s">
        <v>53</v>
      </c>
      <c r="Z126" s="1" t="s">
        <v>39</v>
      </c>
      <c r="AA126">
        <v>1</v>
      </c>
      <c r="AB126" s="1" t="s">
        <v>481</v>
      </c>
      <c r="AC126" s="1" t="s">
        <v>483</v>
      </c>
      <c r="AD126" s="1" t="str">
        <f>IF(AC126="no", "", IF(A126="Australia", "Low-Density Developed Outlier", IF(A126="Liechtenstein", "Ultra-Wealthy Microstate", IF(A126="Monaco", "Extreme Density Microstate", IF(A126="Singapore", "High-Density City-State", "Unclassified Outlier")))))</f>
        <v/>
      </c>
    </row>
    <row r="127" spans="1:30" x14ac:dyDescent="0.35">
      <c r="A127" s="1" t="s">
        <v>342</v>
      </c>
      <c r="B127" s="1" t="s">
        <v>343</v>
      </c>
      <c r="C127" s="1" t="s">
        <v>344</v>
      </c>
      <c r="D127" s="1" t="s">
        <v>151</v>
      </c>
      <c r="E127">
        <v>1.08</v>
      </c>
      <c r="F127" s="1" t="s">
        <v>31</v>
      </c>
      <c r="G127" s="1" t="s">
        <v>32</v>
      </c>
      <c r="H127">
        <v>39.03</v>
      </c>
      <c r="I127">
        <v>125.75</v>
      </c>
      <c r="J127">
        <v>120540</v>
      </c>
      <c r="K127">
        <v>26069416</v>
      </c>
      <c r="L127">
        <v>32100000000</v>
      </c>
      <c r="M127">
        <v>0.22</v>
      </c>
      <c r="N127">
        <v>1231.33</v>
      </c>
      <c r="O127">
        <v>72.099999999999994</v>
      </c>
      <c r="P127" s="1" t="s">
        <v>33</v>
      </c>
      <c r="Q127" s="1" t="s">
        <v>34</v>
      </c>
      <c r="R127" s="1" t="s">
        <v>35</v>
      </c>
      <c r="S127" s="1" t="s">
        <v>36</v>
      </c>
      <c r="T127" s="1" t="s">
        <v>37</v>
      </c>
      <c r="U127">
        <v>216.3</v>
      </c>
      <c r="V127" s="1" t="s">
        <v>152</v>
      </c>
      <c r="W127" s="1" t="s">
        <v>35</v>
      </c>
      <c r="X127">
        <v>266302</v>
      </c>
      <c r="Y127" s="1" t="s">
        <v>53</v>
      </c>
      <c r="Z127" s="1" t="s">
        <v>80</v>
      </c>
      <c r="AA127">
        <v>3</v>
      </c>
      <c r="AB127" s="1" t="s">
        <v>478</v>
      </c>
      <c r="AC127" s="1" t="s">
        <v>483</v>
      </c>
      <c r="AD127" s="1" t="str">
        <f>IF(AC127="no", "", IF(A127="Australia", "Low-Density Developed Outlier", IF(A127="Liechtenstein", "Ultra-Wealthy Microstate", IF(A127="Monaco", "Extreme Density Microstate", IF(A127="Singapore", "High-Density City-State", "Unclassified Outlier")))))</f>
        <v/>
      </c>
    </row>
    <row r="128" spans="1:30" x14ac:dyDescent="0.35">
      <c r="A128" s="1" t="s">
        <v>345</v>
      </c>
      <c r="B128" s="1" t="s">
        <v>346</v>
      </c>
      <c r="C128" s="1" t="s">
        <v>42</v>
      </c>
      <c r="D128" s="1" t="s">
        <v>57</v>
      </c>
      <c r="E128">
        <v>6.28</v>
      </c>
      <c r="F128" s="1" t="s">
        <v>43</v>
      </c>
      <c r="G128" s="1" t="s">
        <v>32</v>
      </c>
      <c r="H128">
        <v>42</v>
      </c>
      <c r="I128">
        <v>21.43</v>
      </c>
      <c r="J128">
        <v>25713</v>
      </c>
      <c r="K128">
        <v>2057679</v>
      </c>
      <c r="L128">
        <v>10220781069</v>
      </c>
      <c r="M128">
        <v>0.09</v>
      </c>
      <c r="N128">
        <v>4967.1400000000003</v>
      </c>
      <c r="O128">
        <v>75.5</v>
      </c>
      <c r="P128" s="1" t="s">
        <v>33</v>
      </c>
      <c r="Q128" s="1" t="s">
        <v>34</v>
      </c>
      <c r="R128" s="1" t="s">
        <v>35</v>
      </c>
      <c r="S128" s="1" t="s">
        <v>35</v>
      </c>
      <c r="T128" s="1" t="s">
        <v>44</v>
      </c>
      <c r="U128">
        <v>80</v>
      </c>
      <c r="V128" s="1" t="s">
        <v>101</v>
      </c>
      <c r="W128" s="1" t="s">
        <v>36</v>
      </c>
      <c r="X128">
        <v>397495</v>
      </c>
      <c r="Y128" s="1" t="s">
        <v>46</v>
      </c>
      <c r="Z128" s="1" t="s">
        <v>47</v>
      </c>
      <c r="AA128">
        <v>0</v>
      </c>
      <c r="AB128" s="1" t="s">
        <v>480</v>
      </c>
      <c r="AC128" s="1" t="s">
        <v>483</v>
      </c>
      <c r="AD128" s="1" t="str">
        <f>IF(AC128="no", "", IF(A128="Australia", "Low-Density Developed Outlier", IF(A128="Liechtenstein", "Ultra-Wealthy Microstate", IF(A128="Monaco", "Extreme Density Microstate", IF(A128="Singapore", "High-Density City-State", "Unclassified Outlier")))))</f>
        <v/>
      </c>
    </row>
    <row r="129" spans="1:30" x14ac:dyDescent="0.35">
      <c r="A129" s="1" t="s">
        <v>347</v>
      </c>
      <c r="B129" s="1" t="s">
        <v>348</v>
      </c>
      <c r="C129" s="1" t="s">
        <v>68</v>
      </c>
      <c r="D129" s="1" t="s">
        <v>57</v>
      </c>
      <c r="E129">
        <v>9.81</v>
      </c>
      <c r="F129" s="1" t="s">
        <v>58</v>
      </c>
      <c r="G129" s="1" t="s">
        <v>59</v>
      </c>
      <c r="H129">
        <v>59.91</v>
      </c>
      <c r="I129">
        <v>10.75</v>
      </c>
      <c r="J129">
        <v>385207</v>
      </c>
      <c r="K129">
        <v>5457127</v>
      </c>
      <c r="L129">
        <v>403336363636</v>
      </c>
      <c r="M129">
        <v>0.03</v>
      </c>
      <c r="N129">
        <v>73910.02</v>
      </c>
      <c r="O129">
        <v>82.8</v>
      </c>
      <c r="P129" s="1" t="s">
        <v>33</v>
      </c>
      <c r="Q129" s="1" t="s">
        <v>34</v>
      </c>
      <c r="R129" s="1" t="s">
        <v>35</v>
      </c>
      <c r="S129" s="1" t="s">
        <v>35</v>
      </c>
      <c r="T129" s="1" t="s">
        <v>44</v>
      </c>
      <c r="U129">
        <v>14.2</v>
      </c>
      <c r="V129" s="1" t="s">
        <v>45</v>
      </c>
      <c r="W129" s="1" t="s">
        <v>35</v>
      </c>
      <c r="X129">
        <v>1047064</v>
      </c>
      <c r="Y129" s="1" t="s">
        <v>47</v>
      </c>
      <c r="Z129" s="1" t="s">
        <v>47</v>
      </c>
      <c r="AA129">
        <v>2</v>
      </c>
      <c r="AB129" s="1" t="s">
        <v>479</v>
      </c>
      <c r="AC129" s="1" t="s">
        <v>483</v>
      </c>
      <c r="AD129" s="1" t="str">
        <f>IF(AC129="no", "", IF(A129="Australia", "Low-Density Developed Outlier", IF(A129="Liechtenstein", "Ultra-Wealthy Microstate", IF(A129="Monaco", "Extreme Density Microstate", IF(A129="Singapore", "High-Density City-State", "Unclassified Outlier")))))</f>
        <v/>
      </c>
    </row>
    <row r="130" spans="1:30" x14ac:dyDescent="0.35">
      <c r="A130" s="1" t="s">
        <v>349</v>
      </c>
      <c r="B130" s="1" t="s">
        <v>350</v>
      </c>
      <c r="C130" s="1" t="s">
        <v>123</v>
      </c>
      <c r="D130" s="1" t="s">
        <v>30</v>
      </c>
      <c r="E130">
        <v>3.05</v>
      </c>
      <c r="F130" s="1" t="s">
        <v>31</v>
      </c>
      <c r="G130" s="1" t="s">
        <v>32</v>
      </c>
      <c r="H130">
        <v>23.613900000000001</v>
      </c>
      <c r="I130">
        <v>58.592199999999998</v>
      </c>
      <c r="J130">
        <v>309500</v>
      </c>
      <c r="K130">
        <v>4576298</v>
      </c>
      <c r="L130">
        <v>76983094928</v>
      </c>
      <c r="M130">
        <v>0.05</v>
      </c>
      <c r="N130">
        <v>16822.13</v>
      </c>
      <c r="O130">
        <v>77.599999999999994</v>
      </c>
      <c r="P130" s="1" t="s">
        <v>33</v>
      </c>
      <c r="Q130" s="1" t="s">
        <v>34</v>
      </c>
      <c r="R130" s="1" t="s">
        <v>35</v>
      </c>
      <c r="S130" s="1" t="s">
        <v>35</v>
      </c>
      <c r="T130" s="1" t="s">
        <v>37</v>
      </c>
      <c r="U130">
        <v>14.8</v>
      </c>
      <c r="V130" s="1" t="s">
        <v>79</v>
      </c>
      <c r="W130" s="1" t="s">
        <v>35</v>
      </c>
      <c r="X130">
        <v>248734</v>
      </c>
      <c r="Y130" s="1" t="s">
        <v>47</v>
      </c>
      <c r="Z130" s="1" t="s">
        <v>47</v>
      </c>
      <c r="AA130">
        <v>0</v>
      </c>
      <c r="AB130" s="1" t="s">
        <v>480</v>
      </c>
      <c r="AC130" s="1" t="s">
        <v>483</v>
      </c>
      <c r="AD130" s="1" t="str">
        <f>IF(AC130="no", "", IF(A130="Australia", "Low-Density Developed Outlier", IF(A130="Liechtenstein", "Ultra-Wealthy Microstate", IF(A130="Monaco", "Extreme Density Microstate", IF(A130="Singapore", "High-Density City-State", "Unclassified Outlier")))))</f>
        <v/>
      </c>
    </row>
    <row r="131" spans="1:30" x14ac:dyDescent="0.35">
      <c r="A131" s="1" t="s">
        <v>351</v>
      </c>
      <c r="B131" s="1" t="s">
        <v>352</v>
      </c>
      <c r="C131" s="1" t="s">
        <v>88</v>
      </c>
      <c r="D131" s="1" t="s">
        <v>30</v>
      </c>
      <c r="E131">
        <v>2.84</v>
      </c>
      <c r="F131" s="1" t="s">
        <v>31</v>
      </c>
      <c r="G131" s="1" t="s">
        <v>32</v>
      </c>
      <c r="H131">
        <v>33.698900000000002</v>
      </c>
      <c r="I131">
        <v>73.036900000000003</v>
      </c>
      <c r="J131">
        <v>881913</v>
      </c>
      <c r="K131">
        <v>235824862</v>
      </c>
      <c r="L131">
        <v>304400000000</v>
      </c>
      <c r="M131">
        <v>0.48</v>
      </c>
      <c r="N131">
        <v>1290.79</v>
      </c>
      <c r="O131">
        <v>67.099999999999994</v>
      </c>
      <c r="P131" s="1" t="s">
        <v>33</v>
      </c>
      <c r="Q131" s="1" t="s">
        <v>34</v>
      </c>
      <c r="R131" s="1" t="s">
        <v>35</v>
      </c>
      <c r="S131" s="1" t="s">
        <v>36</v>
      </c>
      <c r="T131" s="1" t="s">
        <v>37</v>
      </c>
      <c r="U131">
        <v>267.39999999999998</v>
      </c>
      <c r="V131" s="1" t="s">
        <v>38</v>
      </c>
      <c r="W131" s="1" t="s">
        <v>35</v>
      </c>
      <c r="X131">
        <v>345159</v>
      </c>
      <c r="Y131" s="1" t="s">
        <v>53</v>
      </c>
      <c r="Z131" s="1" t="s">
        <v>80</v>
      </c>
      <c r="AA131">
        <v>3</v>
      </c>
      <c r="AB131" s="1" t="s">
        <v>478</v>
      </c>
      <c r="AC131" s="1" t="s">
        <v>483</v>
      </c>
      <c r="AD131" s="1" t="str">
        <f>IF(AC131="no", "", IF(A131="Australia", "Low-Density Developed Outlier", IF(A131="Liechtenstein", "Ultra-Wealthy Microstate", IF(A131="Monaco", "Extreme Density Microstate", IF(A131="Singapore", "High-Density City-State", "Unclassified Outlier")))))</f>
        <v/>
      </c>
    </row>
    <row r="132" spans="1:30" x14ac:dyDescent="0.35">
      <c r="A132" s="1" t="s">
        <v>353</v>
      </c>
      <c r="B132" s="1" t="s">
        <v>354</v>
      </c>
      <c r="C132" s="1" t="s">
        <v>50</v>
      </c>
      <c r="D132" s="1" t="s">
        <v>57</v>
      </c>
      <c r="E132">
        <v>9.61</v>
      </c>
      <c r="F132" s="1" t="s">
        <v>58</v>
      </c>
      <c r="G132" s="1" t="s">
        <v>32</v>
      </c>
      <c r="H132">
        <v>7.5006000000000004</v>
      </c>
      <c r="I132">
        <v>134.6242</v>
      </c>
      <c r="J132">
        <v>466</v>
      </c>
      <c r="K132">
        <v>18055</v>
      </c>
      <c r="L132">
        <v>283994900</v>
      </c>
      <c r="M132">
        <v>0.11</v>
      </c>
      <c r="N132">
        <v>15729.43</v>
      </c>
      <c r="O132">
        <v>69.099999999999994</v>
      </c>
      <c r="P132" s="1" t="s">
        <v>33</v>
      </c>
      <c r="Q132" s="1" t="s">
        <v>34</v>
      </c>
      <c r="R132" s="1" t="s">
        <v>36</v>
      </c>
      <c r="S132" s="1" t="s">
        <v>35</v>
      </c>
      <c r="T132" s="1" t="s">
        <v>84</v>
      </c>
      <c r="U132">
        <v>38.700000000000003</v>
      </c>
      <c r="V132" s="1" t="s">
        <v>202</v>
      </c>
      <c r="W132" s="1" t="s">
        <v>35</v>
      </c>
      <c r="X132">
        <v>609431</v>
      </c>
      <c r="Y132" s="1" t="s">
        <v>47</v>
      </c>
      <c r="Z132" s="1" t="s">
        <v>80</v>
      </c>
      <c r="AA132">
        <v>0</v>
      </c>
      <c r="AB132" s="1" t="s">
        <v>480</v>
      </c>
      <c r="AC132" s="1" t="s">
        <v>483</v>
      </c>
      <c r="AD132" s="1" t="str">
        <f>IF(AC132="no", "", IF(A132="Australia", "Low-Density Developed Outlier", IF(A132="Liechtenstein", "Ultra-Wealthy Microstate", IF(A132="Monaco", "Extreme Density Microstate", IF(A132="Singapore", "High-Density City-State", "Unclassified Outlier")))))</f>
        <v/>
      </c>
    </row>
    <row r="133" spans="1:30" x14ac:dyDescent="0.35">
      <c r="A133" s="1" t="s">
        <v>355</v>
      </c>
      <c r="B133" s="1" t="s">
        <v>356</v>
      </c>
      <c r="C133" s="1" t="s">
        <v>135</v>
      </c>
      <c r="D133" s="1" t="s">
        <v>30</v>
      </c>
      <c r="E133">
        <v>3.44</v>
      </c>
      <c r="F133" s="1" t="s">
        <v>31</v>
      </c>
      <c r="G133" s="1" t="s">
        <v>32</v>
      </c>
      <c r="H133">
        <v>31.896899999999999</v>
      </c>
      <c r="I133">
        <v>35.201700000000002</v>
      </c>
      <c r="J133">
        <v>6220</v>
      </c>
      <c r="K133">
        <v>5289000</v>
      </c>
      <c r="L133">
        <v>4015865744</v>
      </c>
      <c r="M133">
        <v>0.06</v>
      </c>
      <c r="N133">
        <v>759</v>
      </c>
      <c r="O133">
        <v>74</v>
      </c>
      <c r="P133" s="1" t="s">
        <v>33</v>
      </c>
      <c r="Q133" s="1" t="s">
        <v>34</v>
      </c>
      <c r="R133" s="1" t="s">
        <v>35</v>
      </c>
      <c r="S133" s="1" t="s">
        <v>35</v>
      </c>
      <c r="T133" s="1" t="s">
        <v>37</v>
      </c>
      <c r="U133">
        <v>850.3</v>
      </c>
      <c r="V133" s="1" t="s">
        <v>79</v>
      </c>
      <c r="W133" s="1" t="s">
        <v>35</v>
      </c>
      <c r="X133">
        <v>645638</v>
      </c>
      <c r="Y133" s="1" t="s">
        <v>39</v>
      </c>
      <c r="Z133" s="1" t="s">
        <v>80</v>
      </c>
      <c r="AA133">
        <v>0</v>
      </c>
      <c r="AB133" s="1" t="s">
        <v>480</v>
      </c>
      <c r="AC133" s="1" t="s">
        <v>483</v>
      </c>
      <c r="AD133" s="1" t="str">
        <f>IF(AC133="no", "", IF(A133="Australia", "Low-Density Developed Outlier", IF(A133="Liechtenstein", "Ultra-Wealthy Microstate", IF(A133="Monaco", "Extreme Density Microstate", IF(A133="Singapore", "High-Density City-State", "Unclassified Outlier")))))</f>
        <v/>
      </c>
    </row>
    <row r="134" spans="1:30" x14ac:dyDescent="0.35">
      <c r="A134" s="1" t="s">
        <v>357</v>
      </c>
      <c r="B134" s="1" t="s">
        <v>358</v>
      </c>
      <c r="C134" s="1" t="s">
        <v>50</v>
      </c>
      <c r="D134" s="1" t="s">
        <v>57</v>
      </c>
      <c r="E134">
        <v>6.84</v>
      </c>
      <c r="F134" s="1" t="s">
        <v>43</v>
      </c>
      <c r="G134" s="1" t="s">
        <v>32</v>
      </c>
      <c r="H134">
        <v>9</v>
      </c>
      <c r="I134">
        <v>-79.5</v>
      </c>
      <c r="J134">
        <v>74177</v>
      </c>
      <c r="K134">
        <v>4408581</v>
      </c>
      <c r="L134">
        <v>66800800000</v>
      </c>
      <c r="M134">
        <v>0.3</v>
      </c>
      <c r="N134">
        <v>15152.45</v>
      </c>
      <c r="O134">
        <v>78.3</v>
      </c>
      <c r="P134" s="1" t="s">
        <v>69</v>
      </c>
      <c r="Q134" s="1" t="s">
        <v>34</v>
      </c>
      <c r="R134" s="1" t="s">
        <v>36</v>
      </c>
      <c r="S134" s="1" t="s">
        <v>36</v>
      </c>
      <c r="T134" s="1" t="s">
        <v>70</v>
      </c>
      <c r="U134">
        <v>59.4</v>
      </c>
      <c r="V134" s="1" t="s">
        <v>71</v>
      </c>
      <c r="W134" s="1" t="s">
        <v>35</v>
      </c>
      <c r="X134">
        <v>900559</v>
      </c>
      <c r="Y134" s="1" t="s">
        <v>47</v>
      </c>
      <c r="Z134" s="1" t="s">
        <v>47</v>
      </c>
      <c r="AA134">
        <v>0</v>
      </c>
      <c r="AB134" s="1" t="s">
        <v>480</v>
      </c>
      <c r="AC134" s="1" t="s">
        <v>483</v>
      </c>
      <c r="AD134" s="1" t="str">
        <f>IF(AC134="no", "", IF(A134="Australia", "Low-Density Developed Outlier", IF(A134="Liechtenstein", "Ultra-Wealthy Microstate", IF(A134="Monaco", "Extreme Density Microstate", IF(A134="Singapore", "High-Density City-State", "Unclassified Outlier")))))</f>
        <v/>
      </c>
    </row>
    <row r="135" spans="1:30" x14ac:dyDescent="0.35">
      <c r="A135" s="1" t="s">
        <v>359</v>
      </c>
      <c r="B135" s="1" t="s">
        <v>360</v>
      </c>
      <c r="C135" s="1" t="s">
        <v>68</v>
      </c>
      <c r="D135" s="1" t="s">
        <v>57</v>
      </c>
      <c r="E135">
        <v>5.97</v>
      </c>
      <c r="F135" s="1" t="s">
        <v>63</v>
      </c>
      <c r="G135" s="1" t="s">
        <v>32</v>
      </c>
      <c r="H135">
        <v>-9.4788999999999994</v>
      </c>
      <c r="I135">
        <v>147.14940000000001</v>
      </c>
      <c r="J135">
        <v>462840</v>
      </c>
      <c r="K135">
        <v>10142619</v>
      </c>
      <c r="L135">
        <v>24969611435</v>
      </c>
      <c r="M135">
        <v>0.03</v>
      </c>
      <c r="N135">
        <v>2461.85</v>
      </c>
      <c r="O135">
        <v>64.3</v>
      </c>
      <c r="P135" s="1" t="s">
        <v>33</v>
      </c>
      <c r="Q135" s="1" t="s">
        <v>64</v>
      </c>
      <c r="R135" s="1" t="s">
        <v>36</v>
      </c>
      <c r="S135" s="1" t="s">
        <v>35</v>
      </c>
      <c r="T135" s="1" t="s">
        <v>84</v>
      </c>
      <c r="U135">
        <v>21.9</v>
      </c>
      <c r="V135" s="1" t="s">
        <v>202</v>
      </c>
      <c r="W135" s="1" t="s">
        <v>35</v>
      </c>
      <c r="X135">
        <v>53949</v>
      </c>
      <c r="Y135" s="1" t="s">
        <v>53</v>
      </c>
      <c r="Z135" s="1" t="s">
        <v>39</v>
      </c>
      <c r="AA135">
        <v>0</v>
      </c>
      <c r="AB135" s="1" t="s">
        <v>480</v>
      </c>
      <c r="AC135" s="1" t="s">
        <v>483</v>
      </c>
      <c r="AD135" s="1" t="str">
        <f>IF(AC135="no", "", IF(A135="Australia", "Low-Density Developed Outlier", IF(A135="Liechtenstein", "Ultra-Wealthy Microstate", IF(A135="Monaco", "Extreme Density Microstate", IF(A135="Singapore", "High-Density City-State", "Unclassified Outlier")))))</f>
        <v/>
      </c>
    </row>
    <row r="136" spans="1:30" x14ac:dyDescent="0.35">
      <c r="A136" s="1" t="s">
        <v>361</v>
      </c>
      <c r="B136" s="1" t="s">
        <v>362</v>
      </c>
      <c r="C136" s="1" t="s">
        <v>50</v>
      </c>
      <c r="D136" s="1" t="s">
        <v>57</v>
      </c>
      <c r="E136">
        <v>5.92</v>
      </c>
      <c r="F136" s="1" t="s">
        <v>63</v>
      </c>
      <c r="G136" s="1" t="s">
        <v>32</v>
      </c>
      <c r="H136">
        <v>-25.28</v>
      </c>
      <c r="I136">
        <v>-57.64</v>
      </c>
      <c r="J136">
        <v>406756</v>
      </c>
      <c r="K136">
        <v>6780744</v>
      </c>
      <c r="L136">
        <v>38145288940</v>
      </c>
      <c r="M136">
        <v>0.55000000000000004</v>
      </c>
      <c r="N136">
        <v>5625.53</v>
      </c>
      <c r="O136">
        <v>74.099999999999994</v>
      </c>
      <c r="P136" s="1" t="s">
        <v>69</v>
      </c>
      <c r="Q136" s="1" t="s">
        <v>64</v>
      </c>
      <c r="R136" s="1" t="s">
        <v>35</v>
      </c>
      <c r="S136" s="1" t="s">
        <v>36</v>
      </c>
      <c r="T136" s="1" t="s">
        <v>75</v>
      </c>
      <c r="U136">
        <v>16.7</v>
      </c>
      <c r="V136" s="1" t="s">
        <v>113</v>
      </c>
      <c r="W136" s="1" t="s">
        <v>36</v>
      </c>
      <c r="X136">
        <v>93779</v>
      </c>
      <c r="Y136" s="1" t="s">
        <v>46</v>
      </c>
      <c r="Z136" s="1" t="s">
        <v>80</v>
      </c>
      <c r="AA136">
        <v>1</v>
      </c>
      <c r="AB136" s="1" t="s">
        <v>481</v>
      </c>
      <c r="AC136" s="1" t="s">
        <v>483</v>
      </c>
      <c r="AD136" s="1" t="str">
        <f>IF(AC136="no", "", IF(A136="Australia", "Low-Density Developed Outlier", IF(A136="Liechtenstein", "Ultra-Wealthy Microstate", IF(A136="Monaco", "Extreme Density Microstate", IF(A136="Singapore", "High-Density City-State", "Unclassified Outlier")))))</f>
        <v/>
      </c>
    </row>
    <row r="137" spans="1:30" x14ac:dyDescent="0.35">
      <c r="A137" s="1" t="s">
        <v>363</v>
      </c>
      <c r="B137" s="1" t="s">
        <v>364</v>
      </c>
      <c r="C137" s="1" t="s">
        <v>50</v>
      </c>
      <c r="D137" s="1" t="s">
        <v>57</v>
      </c>
      <c r="E137">
        <v>5.69</v>
      </c>
      <c r="F137" s="1" t="s">
        <v>63</v>
      </c>
      <c r="G137" s="1" t="s">
        <v>32</v>
      </c>
      <c r="H137">
        <v>-12.06</v>
      </c>
      <c r="I137">
        <v>-77.037499999999994</v>
      </c>
      <c r="J137">
        <v>1285216</v>
      </c>
      <c r="K137">
        <v>34049588</v>
      </c>
      <c r="L137">
        <v>226848050820</v>
      </c>
      <c r="M137">
        <v>0.19</v>
      </c>
      <c r="N137">
        <v>6662.28</v>
      </c>
      <c r="O137">
        <v>76.5</v>
      </c>
      <c r="P137" s="1" t="s">
        <v>69</v>
      </c>
      <c r="Q137" s="1" t="s">
        <v>64</v>
      </c>
      <c r="R137" s="1" t="s">
        <v>36</v>
      </c>
      <c r="S137" s="1" t="s">
        <v>35</v>
      </c>
      <c r="T137" s="1" t="s">
        <v>75</v>
      </c>
      <c r="U137">
        <v>26.5</v>
      </c>
      <c r="V137" s="1" t="s">
        <v>113</v>
      </c>
      <c r="W137" s="1" t="s">
        <v>35</v>
      </c>
      <c r="X137">
        <v>176506</v>
      </c>
      <c r="Y137" s="1" t="s">
        <v>46</v>
      </c>
      <c r="Z137" s="1" t="s">
        <v>47</v>
      </c>
      <c r="AA137">
        <v>0</v>
      </c>
      <c r="AB137" s="1" t="s">
        <v>480</v>
      </c>
      <c r="AC137" s="1" t="s">
        <v>483</v>
      </c>
      <c r="AD137" s="1" t="str">
        <f>IF(AC137="no", "", IF(A137="Australia", "Low-Density Developed Outlier", IF(A137="Liechtenstein", "Ultra-Wealthy Microstate", IF(A137="Monaco", "Extreme Density Microstate", IF(A137="Singapore", "High-Density City-State", "Unclassified Outlier")))))</f>
        <v/>
      </c>
    </row>
    <row r="138" spans="1:30" x14ac:dyDescent="0.35">
      <c r="A138" s="1" t="s">
        <v>365</v>
      </c>
      <c r="B138" s="1" t="s">
        <v>366</v>
      </c>
      <c r="C138" s="1" t="s">
        <v>50</v>
      </c>
      <c r="D138" s="1" t="s">
        <v>57</v>
      </c>
      <c r="E138">
        <v>6.63</v>
      </c>
      <c r="F138" s="1" t="s">
        <v>43</v>
      </c>
      <c r="G138" s="1" t="s">
        <v>32</v>
      </c>
      <c r="H138">
        <v>14.595800000000001</v>
      </c>
      <c r="I138">
        <v>120.9772</v>
      </c>
      <c r="J138">
        <v>343448</v>
      </c>
      <c r="K138">
        <v>115559009</v>
      </c>
      <c r="L138">
        <v>376795508680</v>
      </c>
      <c r="M138">
        <v>0.42</v>
      </c>
      <c r="N138">
        <v>3260.63</v>
      </c>
      <c r="O138">
        <v>71.099999999999994</v>
      </c>
      <c r="P138" s="1" t="s">
        <v>33</v>
      </c>
      <c r="Q138" s="1" t="s">
        <v>34</v>
      </c>
      <c r="R138" s="1" t="s">
        <v>36</v>
      </c>
      <c r="S138" s="1" t="s">
        <v>36</v>
      </c>
      <c r="T138" s="1" t="s">
        <v>37</v>
      </c>
      <c r="U138">
        <v>336.5</v>
      </c>
      <c r="V138" s="1" t="s">
        <v>124</v>
      </c>
      <c r="W138" s="1" t="s">
        <v>35</v>
      </c>
      <c r="X138">
        <v>1097096</v>
      </c>
      <c r="Y138" s="1" t="s">
        <v>53</v>
      </c>
      <c r="Z138" s="1" t="s">
        <v>80</v>
      </c>
      <c r="AA138">
        <v>0</v>
      </c>
      <c r="AB138" s="1" t="s">
        <v>480</v>
      </c>
      <c r="AC138" s="1" t="s">
        <v>483</v>
      </c>
      <c r="AD138" s="1" t="str">
        <f>IF(AC138="no", "", IF(A138="Australia", "Low-Density Developed Outlier", IF(A138="Liechtenstein", "Ultra-Wealthy Microstate", IF(A138="Monaco", "Extreme Density Microstate", IF(A138="Singapore", "High-Density City-State", "Unclassified Outlier")))))</f>
        <v/>
      </c>
    </row>
    <row r="139" spans="1:30" x14ac:dyDescent="0.35">
      <c r="A139" s="1" t="s">
        <v>367</v>
      </c>
      <c r="B139" s="1" t="s">
        <v>368</v>
      </c>
      <c r="C139" s="1" t="s">
        <v>42</v>
      </c>
      <c r="D139" s="1" t="s">
        <v>57</v>
      </c>
      <c r="E139">
        <v>7.4</v>
      </c>
      <c r="F139" s="1" t="s">
        <v>43</v>
      </c>
      <c r="G139" s="1" t="s">
        <v>32</v>
      </c>
      <c r="H139">
        <v>52.23</v>
      </c>
      <c r="I139">
        <v>21.011099999999999</v>
      </c>
      <c r="J139">
        <v>312683</v>
      </c>
      <c r="K139">
        <v>37561599</v>
      </c>
      <c r="L139">
        <v>592164400688</v>
      </c>
      <c r="M139">
        <v>0.47</v>
      </c>
      <c r="N139">
        <v>15765.15</v>
      </c>
      <c r="O139">
        <v>77.599999999999994</v>
      </c>
      <c r="P139" s="1" t="s">
        <v>33</v>
      </c>
      <c r="Q139" s="1" t="s">
        <v>34</v>
      </c>
      <c r="R139" s="1" t="s">
        <v>35</v>
      </c>
      <c r="S139" s="1" t="s">
        <v>36</v>
      </c>
      <c r="T139" s="1" t="s">
        <v>44</v>
      </c>
      <c r="U139">
        <v>120.1</v>
      </c>
      <c r="V139" s="1" t="s">
        <v>101</v>
      </c>
      <c r="W139" s="1" t="s">
        <v>35</v>
      </c>
      <c r="X139">
        <v>1893817</v>
      </c>
      <c r="Y139" s="1" t="s">
        <v>47</v>
      </c>
      <c r="Z139" s="1" t="s">
        <v>47</v>
      </c>
      <c r="AA139">
        <v>2</v>
      </c>
      <c r="AB139" s="1" t="s">
        <v>479</v>
      </c>
      <c r="AC139" s="1" t="s">
        <v>483</v>
      </c>
      <c r="AD139" s="1" t="str">
        <f>IF(AC139="no", "", IF(A139="Australia", "Low-Density Developed Outlier", IF(A139="Liechtenstein", "Ultra-Wealthy Microstate", IF(A139="Monaco", "Extreme Density Microstate", IF(A139="Singapore", "High-Density City-State", "Unclassified Outlier")))))</f>
        <v/>
      </c>
    </row>
    <row r="140" spans="1:30" x14ac:dyDescent="0.35">
      <c r="A140" s="1" t="s">
        <v>369</v>
      </c>
      <c r="B140" s="1" t="s">
        <v>370</v>
      </c>
      <c r="C140" s="1" t="s">
        <v>135</v>
      </c>
      <c r="D140" s="1" t="s">
        <v>57</v>
      </c>
      <c r="E140">
        <v>8.08</v>
      </c>
      <c r="F140" s="1" t="s">
        <v>58</v>
      </c>
      <c r="G140" s="1" t="s">
        <v>59</v>
      </c>
      <c r="H140">
        <v>38.72</v>
      </c>
      <c r="I140">
        <v>-9.1300000000000008</v>
      </c>
      <c r="J140">
        <v>92225</v>
      </c>
      <c r="K140">
        <v>10379007</v>
      </c>
      <c r="L140">
        <v>237686075635</v>
      </c>
      <c r="M140">
        <v>0.4</v>
      </c>
      <c r="N140">
        <v>22900.66</v>
      </c>
      <c r="O140">
        <v>81.3</v>
      </c>
      <c r="P140" s="1" t="s">
        <v>69</v>
      </c>
      <c r="Q140" s="1" t="s">
        <v>34</v>
      </c>
      <c r="R140" s="1" t="s">
        <v>35</v>
      </c>
      <c r="S140" s="1" t="s">
        <v>36</v>
      </c>
      <c r="T140" s="1" t="s">
        <v>44</v>
      </c>
      <c r="U140">
        <v>112.5</v>
      </c>
      <c r="V140" s="1" t="s">
        <v>60</v>
      </c>
      <c r="W140" s="1" t="s">
        <v>35</v>
      </c>
      <c r="X140">
        <v>2577241</v>
      </c>
      <c r="Y140" s="1" t="s">
        <v>47</v>
      </c>
      <c r="Z140" s="1" t="s">
        <v>47</v>
      </c>
      <c r="AA140">
        <v>2</v>
      </c>
      <c r="AB140" s="1" t="s">
        <v>479</v>
      </c>
      <c r="AC140" s="1" t="s">
        <v>483</v>
      </c>
      <c r="AD140" s="1" t="str">
        <f>IF(AC140="no", "", IF(A140="Australia", "Low-Density Developed Outlier", IF(A140="Liechtenstein", "Ultra-Wealthy Microstate", IF(A140="Monaco", "Extreme Density Microstate", IF(A140="Singapore", "High-Density City-State", "Unclassified Outlier")))))</f>
        <v/>
      </c>
    </row>
    <row r="141" spans="1:30" x14ac:dyDescent="0.35">
      <c r="A141" s="1" t="s">
        <v>371</v>
      </c>
      <c r="B141" s="1" t="s">
        <v>372</v>
      </c>
      <c r="C141" s="1" t="s">
        <v>123</v>
      </c>
      <c r="D141" s="1" t="s">
        <v>30</v>
      </c>
      <c r="E141">
        <v>3.17</v>
      </c>
      <c r="F141" s="1" t="s">
        <v>31</v>
      </c>
      <c r="G141" s="1" t="s">
        <v>32</v>
      </c>
      <c r="H141">
        <v>25.29</v>
      </c>
      <c r="I141">
        <v>51.53</v>
      </c>
      <c r="J141">
        <v>11437</v>
      </c>
      <c r="K141">
        <v>2695122</v>
      </c>
      <c r="L141">
        <v>183466208791</v>
      </c>
      <c r="M141">
        <v>0.06</v>
      </c>
      <c r="N141">
        <v>68073.429999999993</v>
      </c>
      <c r="O141">
        <v>80.099999999999994</v>
      </c>
      <c r="P141" s="1" t="s">
        <v>33</v>
      </c>
      <c r="Q141" s="1" t="s">
        <v>34</v>
      </c>
      <c r="R141" s="1" t="s">
        <v>35</v>
      </c>
      <c r="S141" s="1" t="s">
        <v>35</v>
      </c>
      <c r="T141" s="1" t="s">
        <v>37</v>
      </c>
      <c r="U141">
        <v>235.6</v>
      </c>
      <c r="V141" s="1" t="s">
        <v>79</v>
      </c>
      <c r="W141" s="1" t="s">
        <v>35</v>
      </c>
      <c r="X141">
        <v>16041463</v>
      </c>
      <c r="Y141" s="1" t="s">
        <v>47</v>
      </c>
      <c r="Z141" s="1" t="s">
        <v>47</v>
      </c>
      <c r="AA141">
        <v>0</v>
      </c>
      <c r="AB141" s="1" t="s">
        <v>480</v>
      </c>
      <c r="AC141" s="1" t="s">
        <v>483</v>
      </c>
      <c r="AD141" s="1" t="str">
        <f>IF(AC141="no", "", IF(A141="Australia", "Low-Density Developed Outlier", IF(A141="Liechtenstein", "Ultra-Wealthy Microstate", IF(A141="Monaco", "Extreme Density Microstate", IF(A141="Singapore", "High-Density City-State", "Unclassified Outlier")))))</f>
        <v/>
      </c>
    </row>
    <row r="142" spans="1:30" x14ac:dyDescent="0.35">
      <c r="A142" s="1" t="s">
        <v>373</v>
      </c>
      <c r="B142" s="1" t="s">
        <v>374</v>
      </c>
      <c r="C142" s="1" t="s">
        <v>135</v>
      </c>
      <c r="D142" s="1" t="s">
        <v>57</v>
      </c>
      <c r="E142">
        <v>5.99</v>
      </c>
      <c r="F142" s="1" t="s">
        <v>63</v>
      </c>
      <c r="G142" s="1" t="s">
        <v>32</v>
      </c>
      <c r="H142">
        <v>44.43</v>
      </c>
      <c r="I142">
        <v>26.1</v>
      </c>
      <c r="J142">
        <v>238397</v>
      </c>
      <c r="K142">
        <v>18956666</v>
      </c>
      <c r="L142">
        <v>250077444017</v>
      </c>
      <c r="M142">
        <v>0.59</v>
      </c>
      <c r="N142">
        <v>13192.06</v>
      </c>
      <c r="O142">
        <v>75.400000000000006</v>
      </c>
      <c r="P142" s="1" t="s">
        <v>33</v>
      </c>
      <c r="Q142" s="1" t="s">
        <v>34</v>
      </c>
      <c r="R142" s="1" t="s">
        <v>35</v>
      </c>
      <c r="S142" s="1" t="s">
        <v>36</v>
      </c>
      <c r="T142" s="1" t="s">
        <v>44</v>
      </c>
      <c r="U142">
        <v>79.5</v>
      </c>
      <c r="V142" s="1" t="s">
        <v>101</v>
      </c>
      <c r="W142" s="1" t="s">
        <v>35</v>
      </c>
      <c r="X142">
        <v>1048996</v>
      </c>
      <c r="Y142" s="1" t="s">
        <v>47</v>
      </c>
      <c r="Z142" s="1" t="s">
        <v>47</v>
      </c>
      <c r="AA142">
        <v>3</v>
      </c>
      <c r="AB142" s="1" t="s">
        <v>478</v>
      </c>
      <c r="AC142" s="1" t="s">
        <v>483</v>
      </c>
      <c r="AD142" s="1" t="str">
        <f>IF(AC142="no", "", IF(A142="Australia", "Low-Density Developed Outlier", IF(A142="Liechtenstein", "Ultra-Wealthy Microstate", IF(A142="Monaco", "Extreme Density Microstate", IF(A142="Singapore", "High-Density City-State", "Unclassified Outlier")))))</f>
        <v/>
      </c>
    </row>
    <row r="143" spans="1:30" x14ac:dyDescent="0.35">
      <c r="A143" s="1" t="s">
        <v>375</v>
      </c>
      <c r="B143" s="1" t="s">
        <v>376</v>
      </c>
      <c r="C143" s="1" t="s">
        <v>377</v>
      </c>
      <c r="D143" s="1" t="s">
        <v>57</v>
      </c>
      <c r="E143">
        <v>2.0299999999999998</v>
      </c>
      <c r="F143" s="1" t="s">
        <v>31</v>
      </c>
      <c r="G143" s="1" t="s">
        <v>32</v>
      </c>
      <c r="H143">
        <v>55.76</v>
      </c>
      <c r="I143">
        <v>37.619999999999997</v>
      </c>
      <c r="J143">
        <v>17075400</v>
      </c>
      <c r="K143">
        <v>143555736</v>
      </c>
      <c r="L143">
        <v>1699876578871</v>
      </c>
      <c r="M143">
        <v>0.13</v>
      </c>
      <c r="N143">
        <v>11841.23</v>
      </c>
      <c r="O143">
        <v>72.7</v>
      </c>
      <c r="P143" s="1" t="s">
        <v>33</v>
      </c>
      <c r="Q143" s="1" t="s">
        <v>34</v>
      </c>
      <c r="R143" s="1" t="s">
        <v>35</v>
      </c>
      <c r="S143" s="1" t="s">
        <v>35</v>
      </c>
      <c r="T143" s="1" t="s">
        <v>44</v>
      </c>
      <c r="U143">
        <v>8.4</v>
      </c>
      <c r="V143" s="1" t="s">
        <v>195</v>
      </c>
      <c r="W143" s="1" t="s">
        <v>35</v>
      </c>
      <c r="X143">
        <v>99551</v>
      </c>
      <c r="Y143" s="1" t="s">
        <v>46</v>
      </c>
      <c r="Z143" s="1" t="s">
        <v>80</v>
      </c>
      <c r="AA143">
        <v>0</v>
      </c>
      <c r="AB143" s="1" t="s">
        <v>480</v>
      </c>
      <c r="AC143" s="1" t="s">
        <v>483</v>
      </c>
      <c r="AD143" s="1" t="str">
        <f>IF(AC143="no", "", IF(A143="Australia", "Low-Density Developed Outlier", IF(A143="Liechtenstein", "Ultra-Wealthy Microstate", IF(A143="Monaco", "Extreme Density Microstate", IF(A143="Singapore", "High-Density City-State", "Unclassified Outlier")))))</f>
        <v/>
      </c>
    </row>
    <row r="144" spans="1:30" x14ac:dyDescent="0.35">
      <c r="A144" s="1" t="s">
        <v>378</v>
      </c>
      <c r="B144" s="1" t="s">
        <v>379</v>
      </c>
      <c r="C144" s="1" t="s">
        <v>50</v>
      </c>
      <c r="D144" s="1" t="s">
        <v>57</v>
      </c>
      <c r="E144">
        <v>3.34</v>
      </c>
      <c r="F144" s="1" t="s">
        <v>31</v>
      </c>
      <c r="G144" s="1" t="s">
        <v>32</v>
      </c>
      <c r="H144">
        <v>-1.94</v>
      </c>
      <c r="I144">
        <v>30.06</v>
      </c>
      <c r="J144">
        <v>26338</v>
      </c>
      <c r="K144">
        <v>13776698</v>
      </c>
      <c r="L144">
        <v>10122472590</v>
      </c>
      <c r="M144">
        <v>0.73</v>
      </c>
      <c r="N144">
        <v>734.75</v>
      </c>
      <c r="O144">
        <v>68.7</v>
      </c>
      <c r="P144" s="1" t="s">
        <v>33</v>
      </c>
      <c r="Q144" s="1" t="s">
        <v>64</v>
      </c>
      <c r="R144" s="1" t="s">
        <v>36</v>
      </c>
      <c r="S144" s="1" t="s">
        <v>36</v>
      </c>
      <c r="T144" s="1" t="s">
        <v>51</v>
      </c>
      <c r="U144">
        <v>523.1</v>
      </c>
      <c r="V144" s="1" t="s">
        <v>65</v>
      </c>
      <c r="W144" s="1" t="s">
        <v>36</v>
      </c>
      <c r="X144">
        <v>384330</v>
      </c>
      <c r="Y144" s="1" t="s">
        <v>39</v>
      </c>
      <c r="Z144" s="1" t="s">
        <v>80</v>
      </c>
      <c r="AA144">
        <v>1</v>
      </c>
      <c r="AB144" s="1" t="s">
        <v>481</v>
      </c>
      <c r="AC144" s="1" t="s">
        <v>483</v>
      </c>
      <c r="AD144" s="1" t="str">
        <f>IF(AC144="no", "", IF(A144="Australia", "Low-Density Developed Outlier", IF(A144="Liechtenstein", "Ultra-Wealthy Microstate", IF(A144="Monaco", "Extreme Density Microstate", IF(A144="Singapore", "High-Density City-State", "Unclassified Outlier")))))</f>
        <v/>
      </c>
    </row>
    <row r="145" spans="1:30" x14ac:dyDescent="0.35">
      <c r="A145" s="1" t="s">
        <v>380</v>
      </c>
      <c r="B145" s="1" t="s">
        <v>381</v>
      </c>
      <c r="C145" s="1" t="s">
        <v>83</v>
      </c>
      <c r="D145" s="1" t="s">
        <v>57</v>
      </c>
      <c r="E145">
        <v>6.9649999999999999</v>
      </c>
      <c r="F145" s="1" t="s">
        <v>43</v>
      </c>
      <c r="G145" s="1" t="s">
        <v>32</v>
      </c>
      <c r="H145">
        <v>17.298300000000001</v>
      </c>
      <c r="I145">
        <v>-62.734200000000001</v>
      </c>
      <c r="J145">
        <v>269</v>
      </c>
      <c r="K145">
        <v>47657</v>
      </c>
      <c r="L145">
        <v>1050992593</v>
      </c>
      <c r="M145">
        <v>0.23</v>
      </c>
      <c r="N145">
        <v>22053.27</v>
      </c>
      <c r="O145">
        <v>71.3</v>
      </c>
      <c r="P145" s="1" t="s">
        <v>69</v>
      </c>
      <c r="Q145" s="1" t="s">
        <v>34</v>
      </c>
      <c r="R145" s="1" t="s">
        <v>36</v>
      </c>
      <c r="S145" s="1" t="s">
        <v>36</v>
      </c>
      <c r="T145" s="1" t="s">
        <v>70</v>
      </c>
      <c r="U145">
        <v>177.2</v>
      </c>
      <c r="V145" s="1" t="s">
        <v>71</v>
      </c>
      <c r="W145" s="1" t="s">
        <v>35</v>
      </c>
      <c r="X145">
        <v>3907036</v>
      </c>
      <c r="Y145" s="1" t="s">
        <v>47</v>
      </c>
      <c r="Z145" s="1" t="s">
        <v>80</v>
      </c>
      <c r="AA145">
        <v>0</v>
      </c>
      <c r="AB145" s="1" t="s">
        <v>480</v>
      </c>
      <c r="AC145" s="1" t="s">
        <v>483</v>
      </c>
      <c r="AD145" s="1" t="str">
        <f>IF(AC145="no", "", IF(A145="Australia", "Low-Density Developed Outlier", IF(A145="Liechtenstein", "Ultra-Wealthy Microstate", IF(A145="Monaco", "Extreme Density Microstate", IF(A145="Singapore", "High-Density City-State", "Unclassified Outlier")))))</f>
        <v/>
      </c>
    </row>
    <row r="146" spans="1:30" x14ac:dyDescent="0.35">
      <c r="A146" s="1" t="s">
        <v>382</v>
      </c>
      <c r="B146" s="1" t="s">
        <v>383</v>
      </c>
      <c r="C146" s="1" t="s">
        <v>68</v>
      </c>
      <c r="D146" s="1" t="s">
        <v>57</v>
      </c>
      <c r="E146">
        <v>5.32</v>
      </c>
      <c r="F146" s="1" t="s">
        <v>63</v>
      </c>
      <c r="G146" s="1" t="s">
        <v>32</v>
      </c>
      <c r="H146">
        <v>14.0167</v>
      </c>
      <c r="I146">
        <v>-60.9833</v>
      </c>
      <c r="J146">
        <v>617</v>
      </c>
      <c r="K146">
        <v>179857</v>
      </c>
      <c r="L146">
        <v>2122450630</v>
      </c>
      <c r="M146">
        <v>0.17</v>
      </c>
      <c r="N146">
        <v>11800.77</v>
      </c>
      <c r="O146">
        <v>76.099999999999994</v>
      </c>
      <c r="P146" s="1" t="s">
        <v>69</v>
      </c>
      <c r="Q146" s="1" t="s">
        <v>34</v>
      </c>
      <c r="R146" s="1" t="s">
        <v>36</v>
      </c>
      <c r="S146" s="1" t="s">
        <v>35</v>
      </c>
      <c r="T146" s="1" t="s">
        <v>70</v>
      </c>
      <c r="U146">
        <v>291.5</v>
      </c>
      <c r="V146" s="1" t="s">
        <v>71</v>
      </c>
      <c r="W146" s="1" t="s">
        <v>35</v>
      </c>
      <c r="X146">
        <v>3439952</v>
      </c>
      <c r="Y146" s="1" t="s">
        <v>46</v>
      </c>
      <c r="Z146" s="1" t="s">
        <v>47</v>
      </c>
      <c r="AA146">
        <v>0</v>
      </c>
      <c r="AB146" s="1" t="s">
        <v>480</v>
      </c>
      <c r="AC146" s="1" t="s">
        <v>483</v>
      </c>
      <c r="AD146" s="1" t="str">
        <f>IF(AC146="no", "", IF(A146="Australia", "Low-Density Developed Outlier", IF(A146="Liechtenstein", "Ultra-Wealthy Microstate", IF(A146="Monaco", "Extreme Density Microstate", IF(A146="Singapore", "High-Density City-State", "Unclassified Outlier")))))</f>
        <v/>
      </c>
    </row>
    <row r="147" spans="1:30" x14ac:dyDescent="0.35">
      <c r="A147" s="1" t="s">
        <v>384</v>
      </c>
      <c r="B147" s="1" t="s">
        <v>385</v>
      </c>
      <c r="C147" s="1" t="s">
        <v>68</v>
      </c>
      <c r="D147" s="1" t="s">
        <v>57</v>
      </c>
      <c r="E147">
        <v>5.32</v>
      </c>
      <c r="F147" s="1" t="s">
        <v>63</v>
      </c>
      <c r="G147" s="1" t="s">
        <v>32</v>
      </c>
      <c r="H147">
        <v>13.166700000000001</v>
      </c>
      <c r="I147">
        <v>-61.2333</v>
      </c>
      <c r="J147">
        <v>389</v>
      </c>
      <c r="K147">
        <v>103948</v>
      </c>
      <c r="L147">
        <v>825385185</v>
      </c>
      <c r="M147">
        <v>0.26</v>
      </c>
      <c r="N147">
        <v>7940.37</v>
      </c>
      <c r="O147">
        <v>72.400000000000006</v>
      </c>
      <c r="P147" s="1" t="s">
        <v>69</v>
      </c>
      <c r="Q147" s="1" t="s">
        <v>34</v>
      </c>
      <c r="R147" s="1" t="s">
        <v>36</v>
      </c>
      <c r="S147" s="1" t="s">
        <v>36</v>
      </c>
      <c r="T147" s="1" t="s">
        <v>70</v>
      </c>
      <c r="U147">
        <v>267.2</v>
      </c>
      <c r="V147" s="1" t="s">
        <v>71</v>
      </c>
      <c r="W147" s="1" t="s">
        <v>35</v>
      </c>
      <c r="X147">
        <v>2121813</v>
      </c>
      <c r="Y147" s="1" t="s">
        <v>46</v>
      </c>
      <c r="Z147" s="1" t="s">
        <v>80</v>
      </c>
      <c r="AA147">
        <v>0</v>
      </c>
      <c r="AB147" s="1" t="s">
        <v>480</v>
      </c>
      <c r="AC147" s="1" t="s">
        <v>483</v>
      </c>
      <c r="AD147" s="1" t="str">
        <f>IF(AC147="no", "", IF(A147="Australia", "Low-Density Developed Outlier", IF(A147="Liechtenstein", "Ultra-Wealthy Microstate", IF(A147="Monaco", "Extreme Density Microstate", IF(A147="Singapore", "High-Density City-State", "Unclassified Outlier")))))</f>
        <v/>
      </c>
    </row>
    <row r="148" spans="1:30" x14ac:dyDescent="0.35">
      <c r="A148" s="1" t="s">
        <v>386</v>
      </c>
      <c r="B148" s="1" t="s">
        <v>387</v>
      </c>
      <c r="C148" s="1" t="s">
        <v>42</v>
      </c>
      <c r="D148" s="1" t="s">
        <v>57</v>
      </c>
      <c r="E148">
        <v>5.97</v>
      </c>
      <c r="F148" s="1" t="s">
        <v>63</v>
      </c>
      <c r="G148" s="1" t="s">
        <v>32</v>
      </c>
      <c r="H148">
        <v>-13.833299999999999</v>
      </c>
      <c r="I148">
        <v>-171.83330000000001</v>
      </c>
      <c r="J148">
        <v>2842</v>
      </c>
      <c r="K148">
        <v>222382</v>
      </c>
      <c r="L148">
        <v>850655017</v>
      </c>
      <c r="M148">
        <v>0.12</v>
      </c>
      <c r="N148">
        <v>3825.2</v>
      </c>
      <c r="O148">
        <v>73.2</v>
      </c>
      <c r="P148" s="1" t="s">
        <v>69</v>
      </c>
      <c r="Q148" s="1" t="s">
        <v>64</v>
      </c>
      <c r="R148" s="1" t="s">
        <v>36</v>
      </c>
      <c r="S148" s="1" t="s">
        <v>35</v>
      </c>
      <c r="T148" s="1" t="s">
        <v>84</v>
      </c>
      <c r="U148">
        <v>78.2</v>
      </c>
      <c r="V148" s="1" t="s">
        <v>202</v>
      </c>
      <c r="W148" s="1" t="s">
        <v>35</v>
      </c>
      <c r="X148">
        <v>299316</v>
      </c>
      <c r="Y148" s="1" t="s">
        <v>53</v>
      </c>
      <c r="Z148" s="1" t="s">
        <v>80</v>
      </c>
      <c r="AA148">
        <v>0</v>
      </c>
      <c r="AB148" s="1" t="s">
        <v>480</v>
      </c>
      <c r="AC148" s="1" t="s">
        <v>483</v>
      </c>
      <c r="AD148" s="1" t="str">
        <f>IF(AC148="no", "", IF(A148="Australia", "Low-Density Developed Outlier", IF(A148="Liechtenstein", "Ultra-Wealthy Microstate", IF(A148="Monaco", "Extreme Density Microstate", IF(A148="Singapore", "High-Density City-State", "Unclassified Outlier")))))</f>
        <v/>
      </c>
    </row>
    <row r="149" spans="1:30" x14ac:dyDescent="0.35">
      <c r="A149" s="1" t="s">
        <v>388</v>
      </c>
      <c r="B149" s="1" t="s">
        <v>389</v>
      </c>
      <c r="C149" s="1" t="s">
        <v>42</v>
      </c>
      <c r="D149" s="1" t="s">
        <v>57</v>
      </c>
      <c r="E149">
        <v>8.0050000000000008</v>
      </c>
      <c r="F149" s="1" t="s">
        <v>58</v>
      </c>
      <c r="G149" s="1" t="s">
        <v>59</v>
      </c>
      <c r="H149">
        <v>43.94</v>
      </c>
      <c r="I149">
        <v>12.45</v>
      </c>
      <c r="J149">
        <v>61</v>
      </c>
      <c r="K149">
        <v>33660</v>
      </c>
      <c r="L149">
        <v>1637931034</v>
      </c>
      <c r="M149">
        <v>0.17</v>
      </c>
      <c r="N149">
        <v>48661.05</v>
      </c>
      <c r="O149">
        <v>85.4</v>
      </c>
      <c r="P149" s="1" t="s">
        <v>33</v>
      </c>
      <c r="Q149" s="1" t="s">
        <v>34</v>
      </c>
      <c r="R149" s="1" t="s">
        <v>35</v>
      </c>
      <c r="S149" s="1" t="s">
        <v>35</v>
      </c>
      <c r="T149" s="1" t="s">
        <v>44</v>
      </c>
      <c r="U149">
        <v>551.79999999999995</v>
      </c>
      <c r="V149" s="1" t="s">
        <v>45</v>
      </c>
      <c r="W149" s="1" t="s">
        <v>36</v>
      </c>
      <c r="X149">
        <v>26851328</v>
      </c>
      <c r="Y149" s="1" t="s">
        <v>47</v>
      </c>
      <c r="Z149" s="1" t="s">
        <v>47</v>
      </c>
      <c r="AA149">
        <v>2</v>
      </c>
      <c r="AB149" s="1" t="s">
        <v>479</v>
      </c>
      <c r="AC149" s="1" t="s">
        <v>483</v>
      </c>
      <c r="AD149" s="1" t="str">
        <f>IF(AC149="no", "", IF(A149="Australia", "Low-Density Developed Outlier", IF(A149="Liechtenstein", "Ultra-Wealthy Microstate", IF(A149="Monaco", "Extreme Density Microstate", IF(A149="Singapore", "High-Density City-State", "Unclassified Outlier")))))</f>
        <v/>
      </c>
    </row>
    <row r="150" spans="1:30" x14ac:dyDescent="0.35">
      <c r="A150" s="1" t="s">
        <v>390</v>
      </c>
      <c r="B150" s="1" t="s">
        <v>391</v>
      </c>
      <c r="C150" s="1" t="s">
        <v>135</v>
      </c>
      <c r="D150" s="1" t="s">
        <v>57</v>
      </c>
      <c r="E150">
        <v>4.05</v>
      </c>
      <c r="F150" s="1" t="s">
        <v>63</v>
      </c>
      <c r="G150" s="1" t="s">
        <v>32</v>
      </c>
      <c r="H150">
        <v>0.33329999999999999</v>
      </c>
      <c r="I150">
        <v>6.7332999999999998</v>
      </c>
      <c r="J150">
        <v>1001</v>
      </c>
      <c r="K150">
        <v>227380</v>
      </c>
      <c r="L150">
        <v>429016605</v>
      </c>
      <c r="M150">
        <v>0.51</v>
      </c>
      <c r="N150">
        <v>1886.78</v>
      </c>
      <c r="O150">
        <v>70.2</v>
      </c>
      <c r="P150" s="1" t="s">
        <v>33</v>
      </c>
      <c r="Q150" s="1" t="s">
        <v>34</v>
      </c>
      <c r="R150" s="1" t="s">
        <v>36</v>
      </c>
      <c r="S150" s="1" t="s">
        <v>36</v>
      </c>
      <c r="T150" s="1" t="s">
        <v>51</v>
      </c>
      <c r="U150">
        <v>227.2</v>
      </c>
      <c r="V150" s="1" t="s">
        <v>65</v>
      </c>
      <c r="W150" s="1" t="s">
        <v>35</v>
      </c>
      <c r="X150">
        <v>428588</v>
      </c>
      <c r="Y150" s="1" t="s">
        <v>53</v>
      </c>
      <c r="Z150" s="1" t="s">
        <v>80</v>
      </c>
      <c r="AA150">
        <v>1</v>
      </c>
      <c r="AB150" s="1" t="s">
        <v>481</v>
      </c>
      <c r="AC150" s="1" t="s">
        <v>483</v>
      </c>
      <c r="AD150" s="1" t="str">
        <f>IF(AC150="no", "", IF(A150="Australia", "Low-Density Developed Outlier", IF(A150="Liechtenstein", "Ultra-Wealthy Microstate", IF(A150="Monaco", "Extreme Density Microstate", IF(A150="Singapore", "High-Density City-State", "Unclassified Outlier")))))</f>
        <v/>
      </c>
    </row>
    <row r="151" spans="1:30" x14ac:dyDescent="0.35">
      <c r="A151" s="1" t="s">
        <v>392</v>
      </c>
      <c r="B151" s="1" t="s">
        <v>393</v>
      </c>
      <c r="C151" s="1" t="s">
        <v>123</v>
      </c>
      <c r="D151" s="1" t="s">
        <v>30</v>
      </c>
      <c r="E151">
        <v>2.08</v>
      </c>
      <c r="F151" s="1" t="s">
        <v>31</v>
      </c>
      <c r="G151" s="1" t="s">
        <v>32</v>
      </c>
      <c r="H151">
        <v>24.65</v>
      </c>
      <c r="I151">
        <v>46.71</v>
      </c>
      <c r="J151">
        <v>2250000</v>
      </c>
      <c r="K151">
        <v>36408820</v>
      </c>
      <c r="L151">
        <v>792966838162</v>
      </c>
      <c r="M151">
        <v>0.81</v>
      </c>
      <c r="N151">
        <v>21779.53</v>
      </c>
      <c r="O151">
        <v>75</v>
      </c>
      <c r="P151" s="1" t="s">
        <v>33</v>
      </c>
      <c r="Q151" s="1" t="s">
        <v>34</v>
      </c>
      <c r="R151" s="1" t="s">
        <v>35</v>
      </c>
      <c r="S151" s="1" t="s">
        <v>36</v>
      </c>
      <c r="T151" s="1" t="s">
        <v>37</v>
      </c>
      <c r="U151">
        <v>16.2</v>
      </c>
      <c r="V151" s="1" t="s">
        <v>79</v>
      </c>
      <c r="W151" s="1" t="s">
        <v>35</v>
      </c>
      <c r="X151">
        <v>352430</v>
      </c>
      <c r="Y151" s="1" t="s">
        <v>47</v>
      </c>
      <c r="Z151" s="1" t="s">
        <v>47</v>
      </c>
      <c r="AA151">
        <v>3</v>
      </c>
      <c r="AB151" s="1" t="s">
        <v>478</v>
      </c>
      <c r="AC151" s="1" t="s">
        <v>483</v>
      </c>
      <c r="AD151" s="1" t="str">
        <f>IF(AC151="no", "", IF(A151="Australia", "Low-Density Developed Outlier", IF(A151="Liechtenstein", "Ultra-Wealthy Microstate", IF(A151="Monaco", "Extreme Density Microstate", IF(A151="Singapore", "High-Density City-State", "Unclassified Outlier")))))</f>
        <v/>
      </c>
    </row>
    <row r="152" spans="1:30" x14ac:dyDescent="0.35">
      <c r="A152" s="1" t="s">
        <v>394</v>
      </c>
      <c r="B152" s="1" t="s">
        <v>395</v>
      </c>
      <c r="C152" s="1" t="s">
        <v>50</v>
      </c>
      <c r="D152" s="1" t="s">
        <v>30</v>
      </c>
      <c r="E152">
        <v>5.93</v>
      </c>
      <c r="F152" s="1" t="s">
        <v>63</v>
      </c>
      <c r="G152" s="1" t="s">
        <v>32</v>
      </c>
      <c r="H152">
        <v>14.7319</v>
      </c>
      <c r="I152">
        <v>-17.4572</v>
      </c>
      <c r="J152">
        <v>196722</v>
      </c>
      <c r="K152">
        <v>17316449</v>
      </c>
      <c r="L152">
        <v>23578084052</v>
      </c>
      <c r="M152">
        <v>0.46</v>
      </c>
      <c r="N152">
        <v>1361.6</v>
      </c>
      <c r="O152">
        <v>67.7</v>
      </c>
      <c r="P152" s="1" t="s">
        <v>69</v>
      </c>
      <c r="Q152" s="1" t="s">
        <v>34</v>
      </c>
      <c r="R152" s="1" t="s">
        <v>36</v>
      </c>
      <c r="S152" s="1" t="s">
        <v>36</v>
      </c>
      <c r="T152" s="1" t="s">
        <v>51</v>
      </c>
      <c r="U152">
        <v>88</v>
      </c>
      <c r="V152" s="1" t="s">
        <v>130</v>
      </c>
      <c r="W152" s="1" t="s">
        <v>35</v>
      </c>
      <c r="X152">
        <v>119855</v>
      </c>
      <c r="Y152" s="1" t="s">
        <v>53</v>
      </c>
      <c r="Z152" s="1" t="s">
        <v>80</v>
      </c>
      <c r="AA152">
        <v>1</v>
      </c>
      <c r="AB152" s="1" t="s">
        <v>481</v>
      </c>
      <c r="AC152" s="1" t="s">
        <v>483</v>
      </c>
      <c r="AD152" s="1" t="str">
        <f>IF(AC152="no", "", IF(A152="Australia", "Low-Density Developed Outlier", IF(A152="Liechtenstein", "Ultra-Wealthy Microstate", IF(A152="Monaco", "Extreme Density Microstate", IF(A152="Singapore", "High-Density City-State", "Unclassified Outlier")))))</f>
        <v/>
      </c>
    </row>
    <row r="153" spans="1:30" x14ac:dyDescent="0.35">
      <c r="A153" s="1" t="s">
        <v>396</v>
      </c>
      <c r="B153" s="1" t="s">
        <v>397</v>
      </c>
      <c r="C153" s="1" t="s">
        <v>42</v>
      </c>
      <c r="D153" s="1" t="s">
        <v>57</v>
      </c>
      <c r="E153">
        <v>6.26</v>
      </c>
      <c r="F153" s="1" t="s">
        <v>43</v>
      </c>
      <c r="G153" s="1" t="s">
        <v>32</v>
      </c>
      <c r="H153">
        <v>44.79</v>
      </c>
      <c r="I153">
        <v>20.47</v>
      </c>
      <c r="J153">
        <v>88499</v>
      </c>
      <c r="K153">
        <v>6760087</v>
      </c>
      <c r="L153">
        <v>51409167351</v>
      </c>
      <c r="M153">
        <v>0.39</v>
      </c>
      <c r="N153">
        <v>7604.81</v>
      </c>
      <c r="O153">
        <v>75.5</v>
      </c>
      <c r="P153" s="1" t="s">
        <v>33</v>
      </c>
      <c r="Q153" s="1" t="s">
        <v>34</v>
      </c>
      <c r="R153" s="1" t="s">
        <v>35</v>
      </c>
      <c r="S153" s="1" t="s">
        <v>36</v>
      </c>
      <c r="T153" s="1" t="s">
        <v>44</v>
      </c>
      <c r="U153">
        <v>76.400000000000006</v>
      </c>
      <c r="V153" s="1" t="s">
        <v>101</v>
      </c>
      <c r="W153" s="1" t="s">
        <v>36</v>
      </c>
      <c r="X153">
        <v>580901</v>
      </c>
      <c r="Y153" s="1" t="s">
        <v>46</v>
      </c>
      <c r="Z153" s="1" t="s">
        <v>47</v>
      </c>
      <c r="AA153">
        <v>2</v>
      </c>
      <c r="AB153" s="1" t="s">
        <v>479</v>
      </c>
      <c r="AC153" s="1" t="s">
        <v>483</v>
      </c>
      <c r="AD153" s="1" t="str">
        <f>IF(AC153="no", "", IF(A153="Australia", "Low-Density Developed Outlier", IF(A153="Liechtenstein", "Ultra-Wealthy Microstate", IF(A153="Monaco", "Extreme Density Microstate", IF(A153="Singapore", "High-Density City-State", "Unclassified Outlier")))))</f>
        <v/>
      </c>
    </row>
    <row r="154" spans="1:30" x14ac:dyDescent="0.35">
      <c r="A154" s="1" t="s">
        <v>398</v>
      </c>
      <c r="B154" s="1" t="s">
        <v>399</v>
      </c>
      <c r="C154" s="1" t="s">
        <v>50</v>
      </c>
      <c r="D154" s="1" t="s">
        <v>30</v>
      </c>
      <c r="E154">
        <v>4.32</v>
      </c>
      <c r="F154" s="1" t="s">
        <v>63</v>
      </c>
      <c r="G154" s="1" t="s">
        <v>32</v>
      </c>
      <c r="H154">
        <v>8.4832999999999998</v>
      </c>
      <c r="I154">
        <v>-13.2331</v>
      </c>
      <c r="J154">
        <v>71740</v>
      </c>
      <c r="K154">
        <v>8605718</v>
      </c>
      <c r="L154">
        <v>3941474311</v>
      </c>
      <c r="M154">
        <v>0.55000000000000004</v>
      </c>
      <c r="N154">
        <v>458.01</v>
      </c>
      <c r="O154">
        <v>54.3</v>
      </c>
      <c r="P154" s="1" t="s">
        <v>69</v>
      </c>
      <c r="Q154" s="1" t="s">
        <v>34</v>
      </c>
      <c r="R154" s="1" t="s">
        <v>36</v>
      </c>
      <c r="S154" s="1" t="s">
        <v>36</v>
      </c>
      <c r="T154" s="1" t="s">
        <v>51</v>
      </c>
      <c r="U154">
        <v>120</v>
      </c>
      <c r="V154" s="1" t="s">
        <v>130</v>
      </c>
      <c r="W154" s="1" t="s">
        <v>35</v>
      </c>
      <c r="X154">
        <v>54941</v>
      </c>
      <c r="Y154" s="1" t="s">
        <v>39</v>
      </c>
      <c r="Z154" s="1" t="s">
        <v>39</v>
      </c>
      <c r="AA154">
        <v>1</v>
      </c>
      <c r="AB154" s="1" t="s">
        <v>481</v>
      </c>
      <c r="AC154" s="1" t="s">
        <v>483</v>
      </c>
      <c r="AD154" s="1" t="str">
        <f>IF(AC154="no", "", IF(A154="Australia", "Low-Density Developed Outlier", IF(A154="Liechtenstein", "Ultra-Wealthy Microstate", IF(A154="Monaco", "Extreme Density Microstate", IF(A154="Singapore", "High-Density City-State", "Unclassified Outlier")))))</f>
        <v/>
      </c>
    </row>
    <row r="155" spans="1:30" x14ac:dyDescent="0.35">
      <c r="A155" s="1" t="s">
        <v>400</v>
      </c>
      <c r="B155" s="1" t="s">
        <v>400</v>
      </c>
      <c r="C155" s="1" t="s">
        <v>42</v>
      </c>
      <c r="D155" s="1" t="s">
        <v>110</v>
      </c>
      <c r="E155">
        <v>6.18</v>
      </c>
      <c r="F155" s="1" t="s">
        <v>43</v>
      </c>
      <c r="G155" s="1" t="s">
        <v>59</v>
      </c>
      <c r="H155">
        <v>1.29</v>
      </c>
      <c r="I155">
        <v>103.85</v>
      </c>
      <c r="J155">
        <v>719</v>
      </c>
      <c r="K155">
        <v>5637022</v>
      </c>
      <c r="L155">
        <v>372062527489</v>
      </c>
      <c r="M155">
        <v>0.01</v>
      </c>
      <c r="N155">
        <v>66003.38</v>
      </c>
      <c r="O155">
        <v>83.1</v>
      </c>
      <c r="P155" s="1" t="s">
        <v>33</v>
      </c>
      <c r="Q155" s="1" t="s">
        <v>34</v>
      </c>
      <c r="R155" s="1" t="s">
        <v>36</v>
      </c>
      <c r="S155" s="1" t="s">
        <v>35</v>
      </c>
      <c r="T155" s="1" t="s">
        <v>37</v>
      </c>
      <c r="U155">
        <v>7840.1</v>
      </c>
      <c r="V155" s="1" t="s">
        <v>124</v>
      </c>
      <c r="W155" s="1" t="s">
        <v>35</v>
      </c>
      <c r="X155">
        <v>517472222</v>
      </c>
      <c r="Y155" s="1" t="s">
        <v>47</v>
      </c>
      <c r="Z155" s="1" t="s">
        <v>47</v>
      </c>
      <c r="AA155">
        <v>0</v>
      </c>
      <c r="AB155" s="1" t="s">
        <v>480</v>
      </c>
      <c r="AC155" s="1" t="s">
        <v>484</v>
      </c>
      <c r="AD155" s="1" t="s">
        <v>486</v>
      </c>
    </row>
    <row r="156" spans="1:30" x14ac:dyDescent="0.35">
      <c r="A156" s="1" t="s">
        <v>401</v>
      </c>
      <c r="B156" s="1" t="s">
        <v>402</v>
      </c>
      <c r="C156" s="1" t="s">
        <v>42</v>
      </c>
      <c r="D156" s="1" t="s">
        <v>57</v>
      </c>
      <c r="E156">
        <v>7.21</v>
      </c>
      <c r="F156" s="1" t="s">
        <v>43</v>
      </c>
      <c r="G156" s="1" t="s">
        <v>59</v>
      </c>
      <c r="H156">
        <v>48.1447</v>
      </c>
      <c r="I156">
        <v>17.1128</v>
      </c>
      <c r="J156">
        <v>49035</v>
      </c>
      <c r="K156">
        <v>5431752</v>
      </c>
      <c r="L156">
        <v>105422304976</v>
      </c>
      <c r="M156">
        <v>0.39</v>
      </c>
      <c r="N156">
        <v>19408.53</v>
      </c>
      <c r="O156">
        <v>77.2</v>
      </c>
      <c r="P156" s="1" t="s">
        <v>33</v>
      </c>
      <c r="Q156" s="1" t="s">
        <v>34</v>
      </c>
      <c r="R156" s="1" t="s">
        <v>35</v>
      </c>
      <c r="S156" s="1" t="s">
        <v>36</v>
      </c>
      <c r="T156" s="1" t="s">
        <v>44</v>
      </c>
      <c r="U156">
        <v>110.8</v>
      </c>
      <c r="V156" s="1" t="s">
        <v>45</v>
      </c>
      <c r="W156" s="1" t="s">
        <v>36</v>
      </c>
      <c r="X156">
        <v>2149940</v>
      </c>
      <c r="Y156" s="1" t="s">
        <v>47</v>
      </c>
      <c r="Z156" s="1" t="s">
        <v>47</v>
      </c>
      <c r="AA156">
        <v>2</v>
      </c>
      <c r="AB156" s="1" t="s">
        <v>479</v>
      </c>
      <c r="AC156" s="1" t="s">
        <v>483</v>
      </c>
      <c r="AD156" s="1" t="str">
        <f>IF(AC156="no", "", IF(A156="Australia", "Low-Density Developed Outlier", IF(A156="Liechtenstein", "Ultra-Wealthy Microstate", IF(A156="Monaco", "Extreme Density Microstate", IF(A156="Singapore", "High-Density City-State", "Unclassified Outlier")))))</f>
        <v/>
      </c>
    </row>
    <row r="157" spans="1:30" x14ac:dyDescent="0.35">
      <c r="A157" s="1" t="s">
        <v>403</v>
      </c>
      <c r="B157" s="1" t="s">
        <v>404</v>
      </c>
      <c r="C157" s="1" t="s">
        <v>42</v>
      </c>
      <c r="D157" s="1" t="s">
        <v>57</v>
      </c>
      <c r="E157">
        <v>7.82</v>
      </c>
      <c r="F157" s="1" t="s">
        <v>43</v>
      </c>
      <c r="G157" s="1" t="s">
        <v>59</v>
      </c>
      <c r="H157">
        <v>46.051400000000001</v>
      </c>
      <c r="I157">
        <v>14.5061</v>
      </c>
      <c r="J157">
        <v>20271</v>
      </c>
      <c r="K157">
        <v>2108732</v>
      </c>
      <c r="L157">
        <v>53742159517</v>
      </c>
      <c r="M157">
        <v>0.31</v>
      </c>
      <c r="N157">
        <v>25485.53</v>
      </c>
      <c r="O157">
        <v>81</v>
      </c>
      <c r="P157" s="1" t="s">
        <v>33</v>
      </c>
      <c r="Q157" s="1" t="s">
        <v>34</v>
      </c>
      <c r="R157" s="1" t="s">
        <v>35</v>
      </c>
      <c r="S157" s="1" t="s">
        <v>36</v>
      </c>
      <c r="T157" s="1" t="s">
        <v>44</v>
      </c>
      <c r="U157">
        <v>104</v>
      </c>
      <c r="V157" s="1" t="s">
        <v>45</v>
      </c>
      <c r="W157" s="1" t="s">
        <v>35</v>
      </c>
      <c r="X157">
        <v>2651184</v>
      </c>
      <c r="Y157" s="1" t="s">
        <v>47</v>
      </c>
      <c r="Z157" s="1" t="s">
        <v>47</v>
      </c>
      <c r="AA157">
        <v>2</v>
      </c>
      <c r="AB157" s="1" t="s">
        <v>479</v>
      </c>
      <c r="AC157" s="1" t="s">
        <v>483</v>
      </c>
      <c r="AD157" s="1" t="str">
        <f>IF(AC157="no", "", IF(A157="Australia", "Low-Density Developed Outlier", IF(A157="Liechtenstein", "Ultra-Wealthy Microstate", IF(A157="Monaco", "Extreme Density Microstate", IF(A157="Singapore", "High-Density City-State", "Unclassified Outlier")))))</f>
        <v/>
      </c>
    </row>
    <row r="158" spans="1:30" x14ac:dyDescent="0.35">
      <c r="A158" s="1" t="s">
        <v>405</v>
      </c>
      <c r="B158" s="1" t="s">
        <v>406</v>
      </c>
      <c r="C158" s="1" t="s">
        <v>68</v>
      </c>
      <c r="D158" s="1" t="s">
        <v>57</v>
      </c>
      <c r="E158">
        <v>5.97</v>
      </c>
      <c r="F158" s="1" t="s">
        <v>63</v>
      </c>
      <c r="G158" s="1" t="s">
        <v>32</v>
      </c>
      <c r="H158">
        <v>-9.43</v>
      </c>
      <c r="I158">
        <v>159.94999999999999</v>
      </c>
      <c r="J158">
        <v>28400</v>
      </c>
      <c r="K158">
        <v>724273</v>
      </c>
      <c r="L158">
        <v>1425074226</v>
      </c>
      <c r="M158">
        <v>0.04</v>
      </c>
      <c r="N158">
        <v>1967.59</v>
      </c>
      <c r="O158">
        <v>72.8</v>
      </c>
      <c r="P158" s="1" t="s">
        <v>33</v>
      </c>
      <c r="Q158" s="1" t="s">
        <v>64</v>
      </c>
      <c r="R158" s="1" t="s">
        <v>36</v>
      </c>
      <c r="S158" s="1" t="s">
        <v>35</v>
      </c>
      <c r="T158" s="1" t="s">
        <v>84</v>
      </c>
      <c r="U158">
        <v>25.5</v>
      </c>
      <c r="V158" s="1" t="s">
        <v>202</v>
      </c>
      <c r="W158" s="1" t="s">
        <v>35</v>
      </c>
      <c r="X158">
        <v>50179</v>
      </c>
      <c r="Y158" s="1" t="s">
        <v>53</v>
      </c>
      <c r="Z158" s="1" t="s">
        <v>80</v>
      </c>
      <c r="AA158">
        <v>0</v>
      </c>
      <c r="AB158" s="1" t="s">
        <v>480</v>
      </c>
      <c r="AC158" s="1" t="s">
        <v>483</v>
      </c>
      <c r="AD158" s="1" t="str">
        <f>IF(AC158="no", "", IF(A158="Australia", "Low-Density Developed Outlier", IF(A158="Liechtenstein", "Ultra-Wealthy Microstate", IF(A158="Monaco", "Extreme Density Microstate", IF(A158="Singapore", "High-Density City-State", "Unclassified Outlier")))))</f>
        <v/>
      </c>
    </row>
    <row r="159" spans="1:30" x14ac:dyDescent="0.35">
      <c r="A159" s="1" t="s">
        <v>407</v>
      </c>
      <c r="B159" s="1" t="s">
        <v>408</v>
      </c>
      <c r="C159" s="1" t="s">
        <v>88</v>
      </c>
      <c r="D159" s="1" t="s">
        <v>30</v>
      </c>
      <c r="E159">
        <v>2.1949999999999998</v>
      </c>
      <c r="F159" s="1" t="s">
        <v>31</v>
      </c>
      <c r="G159" s="1" t="s">
        <v>32</v>
      </c>
      <c r="H159">
        <v>2.0392000000000001</v>
      </c>
      <c r="I159">
        <v>45.341900000000003</v>
      </c>
      <c r="J159">
        <v>637657</v>
      </c>
      <c r="K159">
        <v>17597511</v>
      </c>
      <c r="L159">
        <v>4720727278</v>
      </c>
      <c r="M159">
        <v>0.7</v>
      </c>
      <c r="N159">
        <v>268.26</v>
      </c>
      <c r="O159">
        <v>57.1</v>
      </c>
      <c r="P159" s="1" t="s">
        <v>33</v>
      </c>
      <c r="Q159" s="1" t="s">
        <v>34</v>
      </c>
      <c r="R159" s="1" t="s">
        <v>36</v>
      </c>
      <c r="S159" s="1" t="s">
        <v>36</v>
      </c>
      <c r="T159" s="1" t="s">
        <v>51</v>
      </c>
      <c r="U159">
        <v>27.6</v>
      </c>
      <c r="V159" s="1" t="s">
        <v>65</v>
      </c>
      <c r="W159" s="1" t="s">
        <v>35</v>
      </c>
      <c r="X159">
        <v>7403</v>
      </c>
      <c r="Y159" s="1" t="s">
        <v>39</v>
      </c>
      <c r="Z159" s="1" t="s">
        <v>39</v>
      </c>
      <c r="AA159">
        <v>1</v>
      </c>
      <c r="AB159" s="1" t="s">
        <v>481</v>
      </c>
      <c r="AC159" s="1" t="s">
        <v>483</v>
      </c>
      <c r="AD159" s="1" t="str">
        <f>IF(AC159="no", "", IF(A159="Australia", "Low-Density Developed Outlier", IF(A159="Liechtenstein", "Ultra-Wealthy Microstate", IF(A159="Monaco", "Extreme Density Microstate", IF(A159="Singapore", "High-Density City-State", "Unclassified Outlier")))))</f>
        <v/>
      </c>
    </row>
    <row r="160" spans="1:30" x14ac:dyDescent="0.35">
      <c r="A160" s="1" t="s">
        <v>409</v>
      </c>
      <c r="B160" s="1" t="s">
        <v>410</v>
      </c>
      <c r="C160" s="1" t="s">
        <v>42</v>
      </c>
      <c r="D160" s="1" t="s">
        <v>57</v>
      </c>
      <c r="E160">
        <v>7.16</v>
      </c>
      <c r="F160" s="1" t="s">
        <v>43</v>
      </c>
      <c r="G160" s="1" t="s">
        <v>32</v>
      </c>
      <c r="H160">
        <v>-25.746400000000001</v>
      </c>
      <c r="I160">
        <v>28.188099999999999</v>
      </c>
      <c r="J160">
        <v>1221037</v>
      </c>
      <c r="K160">
        <v>59893885</v>
      </c>
      <c r="L160">
        <v>351431649241</v>
      </c>
      <c r="M160">
        <v>0.8</v>
      </c>
      <c r="N160">
        <v>5867.57</v>
      </c>
      <c r="O160">
        <v>63.9</v>
      </c>
      <c r="P160" s="1" t="s">
        <v>33</v>
      </c>
      <c r="Q160" s="1" t="s">
        <v>64</v>
      </c>
      <c r="R160" s="1" t="s">
        <v>35</v>
      </c>
      <c r="S160" s="1" t="s">
        <v>36</v>
      </c>
      <c r="T160" s="1" t="s">
        <v>51</v>
      </c>
      <c r="U160">
        <v>49.1</v>
      </c>
      <c r="V160" s="1" t="s">
        <v>118</v>
      </c>
      <c r="W160" s="1" t="s">
        <v>35</v>
      </c>
      <c r="X160">
        <v>287814</v>
      </c>
      <c r="Y160" s="1" t="s">
        <v>46</v>
      </c>
      <c r="Z160" s="1" t="s">
        <v>39</v>
      </c>
      <c r="AA160">
        <v>1</v>
      </c>
      <c r="AB160" s="1" t="s">
        <v>481</v>
      </c>
      <c r="AC160" s="1" t="s">
        <v>483</v>
      </c>
      <c r="AD160" s="1" t="str">
        <f>IF(AC160="no", "", IF(A160="Australia", "Low-Density Developed Outlier", IF(A160="Liechtenstein", "Ultra-Wealthy Microstate", IF(A160="Monaco", "Extreme Density Microstate", IF(A160="Singapore", "High-Density City-State", "Unclassified Outlier")))))</f>
        <v/>
      </c>
    </row>
    <row r="161" spans="1:30" x14ac:dyDescent="0.35">
      <c r="A161" s="1" t="s">
        <v>411</v>
      </c>
      <c r="B161" s="1" t="s">
        <v>412</v>
      </c>
      <c r="C161" s="1" t="s">
        <v>50</v>
      </c>
      <c r="D161" s="1" t="s">
        <v>57</v>
      </c>
      <c r="E161">
        <v>7.75</v>
      </c>
      <c r="F161" s="1" t="s">
        <v>43</v>
      </c>
      <c r="G161" s="1" t="s">
        <v>59</v>
      </c>
      <c r="H161">
        <v>37.57</v>
      </c>
      <c r="I161">
        <v>126.98</v>
      </c>
      <c r="J161">
        <v>100295</v>
      </c>
      <c r="K161">
        <v>51628117</v>
      </c>
      <c r="L161">
        <v>2029000000000</v>
      </c>
      <c r="M161">
        <v>0.17</v>
      </c>
      <c r="N161">
        <v>39300.29</v>
      </c>
      <c r="O161">
        <v>82.6</v>
      </c>
      <c r="P161" s="1" t="s">
        <v>33</v>
      </c>
      <c r="Q161" s="1" t="s">
        <v>34</v>
      </c>
      <c r="R161" s="1" t="s">
        <v>35</v>
      </c>
      <c r="S161" s="1" t="s">
        <v>35</v>
      </c>
      <c r="T161" s="1" t="s">
        <v>37</v>
      </c>
      <c r="U161">
        <v>514.79999999999995</v>
      </c>
      <c r="V161" s="1" t="s">
        <v>152</v>
      </c>
      <c r="W161" s="1" t="s">
        <v>35</v>
      </c>
      <c r="X161">
        <v>20230321</v>
      </c>
      <c r="Y161" s="1" t="s">
        <v>47</v>
      </c>
      <c r="Z161" s="1" t="s">
        <v>47</v>
      </c>
      <c r="AA161">
        <v>2</v>
      </c>
      <c r="AB161" s="1" t="s">
        <v>479</v>
      </c>
      <c r="AC161" s="1" t="s">
        <v>483</v>
      </c>
      <c r="AD161" s="1" t="str">
        <f>IF(AC161="no", "", IF(A161="Australia", "Low-Density Developed Outlier", IF(A161="Liechtenstein", "Ultra-Wealthy Microstate", IF(A161="Monaco", "Extreme Density Microstate", IF(A161="Singapore", "High-Density City-State", "Unclassified Outlier")))))</f>
        <v/>
      </c>
    </row>
    <row r="162" spans="1:30" x14ac:dyDescent="0.35">
      <c r="A162" s="1" t="s">
        <v>413</v>
      </c>
      <c r="B162" s="1" t="s">
        <v>414</v>
      </c>
      <c r="C162" s="1" t="s">
        <v>50</v>
      </c>
      <c r="D162" s="1" t="s">
        <v>57</v>
      </c>
      <c r="E162">
        <v>4.05</v>
      </c>
      <c r="F162" s="1" t="s">
        <v>63</v>
      </c>
      <c r="G162" s="1" t="s">
        <v>32</v>
      </c>
      <c r="H162">
        <v>4.8499999999999996</v>
      </c>
      <c r="I162">
        <v>31.6</v>
      </c>
      <c r="J162">
        <v>644329</v>
      </c>
      <c r="K162">
        <v>10913164</v>
      </c>
      <c r="L162">
        <v>11997800751</v>
      </c>
      <c r="M162">
        <v>0.03</v>
      </c>
      <c r="N162">
        <v>1099.3900000000001</v>
      </c>
      <c r="O162">
        <v>57.6</v>
      </c>
      <c r="P162" s="1" t="s">
        <v>33</v>
      </c>
      <c r="Q162" s="1" t="s">
        <v>34</v>
      </c>
      <c r="R162" s="1" t="s">
        <v>36</v>
      </c>
      <c r="S162" s="1" t="s">
        <v>35</v>
      </c>
      <c r="T162" s="1" t="s">
        <v>51</v>
      </c>
      <c r="U162">
        <v>16.899999999999999</v>
      </c>
      <c r="V162" s="1" t="s">
        <v>65</v>
      </c>
      <c r="W162" s="1" t="s">
        <v>36</v>
      </c>
      <c r="X162">
        <v>18621</v>
      </c>
      <c r="Y162" s="1" t="s">
        <v>53</v>
      </c>
      <c r="Z162" s="1" t="s">
        <v>39</v>
      </c>
      <c r="AA162">
        <v>0</v>
      </c>
      <c r="AB162" s="1" t="s">
        <v>480</v>
      </c>
      <c r="AC162" s="1" t="s">
        <v>483</v>
      </c>
      <c r="AD162" s="1" t="str">
        <f>IF(AC162="no", "", IF(A162="Australia", "Low-Density Developed Outlier", IF(A162="Liechtenstein", "Ultra-Wealthy Microstate", IF(A162="Monaco", "Extreme Density Microstate", IF(A162="Singapore", "High-Density City-State", "Unclassified Outlier")))))</f>
        <v/>
      </c>
    </row>
    <row r="163" spans="1:30" x14ac:dyDescent="0.35">
      <c r="A163" s="1" t="s">
        <v>415</v>
      </c>
      <c r="B163" s="1" t="s">
        <v>416</v>
      </c>
      <c r="C163" s="1" t="s">
        <v>68</v>
      </c>
      <c r="D163" s="1" t="s">
        <v>57</v>
      </c>
      <c r="E163">
        <v>8.1300000000000008</v>
      </c>
      <c r="F163" s="1" t="s">
        <v>58</v>
      </c>
      <c r="G163" s="1" t="s">
        <v>59</v>
      </c>
      <c r="H163">
        <v>40.416899999999998</v>
      </c>
      <c r="I163">
        <v>-3.7033</v>
      </c>
      <c r="J163">
        <v>505990</v>
      </c>
      <c r="K163">
        <v>47615034</v>
      </c>
      <c r="L163">
        <v>1394116310769</v>
      </c>
      <c r="M163">
        <v>0.53</v>
      </c>
      <c r="N163">
        <v>29278.91</v>
      </c>
      <c r="O163">
        <v>83.3</v>
      </c>
      <c r="P163" s="1" t="s">
        <v>69</v>
      </c>
      <c r="Q163" s="1" t="s">
        <v>34</v>
      </c>
      <c r="R163" s="1" t="s">
        <v>35</v>
      </c>
      <c r="S163" s="1" t="s">
        <v>36</v>
      </c>
      <c r="T163" s="1" t="s">
        <v>44</v>
      </c>
      <c r="U163">
        <v>94.1</v>
      </c>
      <c r="V163" s="1" t="s">
        <v>60</v>
      </c>
      <c r="W163" s="1" t="s">
        <v>35</v>
      </c>
      <c r="X163">
        <v>2755225</v>
      </c>
      <c r="Y163" s="1" t="s">
        <v>47</v>
      </c>
      <c r="Z163" s="1" t="s">
        <v>47</v>
      </c>
      <c r="AA163">
        <v>2</v>
      </c>
      <c r="AB163" s="1" t="s">
        <v>479</v>
      </c>
      <c r="AC163" s="1" t="s">
        <v>483</v>
      </c>
      <c r="AD163" s="1" t="str">
        <f>IF(AC163="no", "", IF(A163="Australia", "Low-Density Developed Outlier", IF(A163="Liechtenstein", "Ultra-Wealthy Microstate", IF(A163="Monaco", "Extreme Density Microstate", IF(A163="Singapore", "High-Density City-State", "Unclassified Outlier")))))</f>
        <v/>
      </c>
    </row>
    <row r="164" spans="1:30" x14ac:dyDescent="0.35">
      <c r="A164" s="1" t="s">
        <v>417</v>
      </c>
      <c r="B164" s="1" t="s">
        <v>418</v>
      </c>
      <c r="C164" s="1" t="s">
        <v>135</v>
      </c>
      <c r="D164" s="1" t="s">
        <v>110</v>
      </c>
      <c r="E164">
        <v>6.19</v>
      </c>
      <c r="F164" s="1" t="s">
        <v>43</v>
      </c>
      <c r="G164" s="1" t="s">
        <v>32</v>
      </c>
      <c r="H164">
        <v>6.9166999999999996</v>
      </c>
      <c r="I164">
        <v>79.833299999999994</v>
      </c>
      <c r="J164">
        <v>65610</v>
      </c>
      <c r="K164">
        <v>22181000</v>
      </c>
      <c r="L164">
        <v>84008783756</v>
      </c>
      <c r="M164">
        <v>0.44</v>
      </c>
      <c r="N164">
        <v>3787.42</v>
      </c>
      <c r="O164">
        <v>76.8</v>
      </c>
      <c r="P164" s="1" t="s">
        <v>33</v>
      </c>
      <c r="Q164" s="1" t="s">
        <v>34</v>
      </c>
      <c r="R164" s="1" t="s">
        <v>36</v>
      </c>
      <c r="S164" s="1" t="s">
        <v>36</v>
      </c>
      <c r="T164" s="1" t="s">
        <v>37</v>
      </c>
      <c r="U164">
        <v>338.1</v>
      </c>
      <c r="V164" s="1" t="s">
        <v>38</v>
      </c>
      <c r="W164" s="1" t="s">
        <v>35</v>
      </c>
      <c r="X164">
        <v>1280427</v>
      </c>
      <c r="Y164" s="1" t="s">
        <v>53</v>
      </c>
      <c r="Z164" s="1" t="s">
        <v>47</v>
      </c>
      <c r="AA164">
        <v>0</v>
      </c>
      <c r="AB164" s="1" t="s">
        <v>480</v>
      </c>
      <c r="AC164" s="1" t="s">
        <v>483</v>
      </c>
      <c r="AD164" s="1" t="str">
        <f>IF(AC164="no", "", IF(A164="Australia", "Low-Density Developed Outlier", IF(A164="Liechtenstein", "Ultra-Wealthy Microstate", IF(A164="Monaco", "Extreme Density Microstate", IF(A164="Singapore", "High-Density City-State", "Unclassified Outlier")))))</f>
        <v/>
      </c>
    </row>
    <row r="165" spans="1:30" x14ac:dyDescent="0.35">
      <c r="A165" s="1" t="s">
        <v>419</v>
      </c>
      <c r="B165" s="1" t="s">
        <v>420</v>
      </c>
      <c r="C165" s="1" t="s">
        <v>129</v>
      </c>
      <c r="D165" s="1" t="s">
        <v>30</v>
      </c>
      <c r="E165">
        <v>1.46</v>
      </c>
      <c r="F165" s="1" t="s">
        <v>31</v>
      </c>
      <c r="G165" s="1" t="s">
        <v>32</v>
      </c>
      <c r="H165">
        <v>15.6031</v>
      </c>
      <c r="I165">
        <v>32.526499999999999</v>
      </c>
      <c r="J165">
        <v>1886068</v>
      </c>
      <c r="K165">
        <v>46874204</v>
      </c>
      <c r="L165">
        <v>18902284476</v>
      </c>
      <c r="M165">
        <v>0.28999999999999998</v>
      </c>
      <c r="N165">
        <v>403.26</v>
      </c>
      <c r="O165">
        <v>65.099999999999994</v>
      </c>
      <c r="P165" s="1" t="s">
        <v>33</v>
      </c>
      <c r="Q165" s="1" t="s">
        <v>34</v>
      </c>
      <c r="R165" s="1" t="s">
        <v>36</v>
      </c>
      <c r="S165" s="1" t="s">
        <v>36</v>
      </c>
      <c r="T165" s="1" t="s">
        <v>51</v>
      </c>
      <c r="U165">
        <v>24.9</v>
      </c>
      <c r="V165" s="1" t="s">
        <v>65</v>
      </c>
      <c r="W165" s="1" t="s">
        <v>36</v>
      </c>
      <c r="X165">
        <v>10022</v>
      </c>
      <c r="Y165" s="1" t="s">
        <v>39</v>
      </c>
      <c r="Z165" s="1" t="s">
        <v>80</v>
      </c>
      <c r="AA165">
        <v>1</v>
      </c>
      <c r="AB165" s="1" t="s">
        <v>481</v>
      </c>
      <c r="AC165" s="1" t="s">
        <v>483</v>
      </c>
      <c r="AD165" s="1" t="str">
        <f>IF(AC165="no", "", IF(A165="Australia", "Low-Density Developed Outlier", IF(A165="Liechtenstein", "Ultra-Wealthy Microstate", IF(A165="Monaco", "Extreme Density Microstate", IF(A165="Singapore", "High-Density City-State", "Unclassified Outlier")))))</f>
        <v/>
      </c>
    </row>
    <row r="166" spans="1:30" x14ac:dyDescent="0.35">
      <c r="A166" s="1" t="s">
        <v>421</v>
      </c>
      <c r="B166" s="1" t="s">
        <v>422</v>
      </c>
      <c r="C166" s="1" t="s">
        <v>42</v>
      </c>
      <c r="D166" s="1" t="s">
        <v>57</v>
      </c>
      <c r="E166">
        <v>6.79</v>
      </c>
      <c r="F166" s="1" t="s">
        <v>43</v>
      </c>
      <c r="G166" s="1" t="s">
        <v>32</v>
      </c>
      <c r="H166">
        <v>5.8666999999999998</v>
      </c>
      <c r="I166">
        <v>-55.166699999999999</v>
      </c>
      <c r="J166">
        <v>163270</v>
      </c>
      <c r="K166">
        <v>618040</v>
      </c>
      <c r="L166">
        <v>3985250737</v>
      </c>
      <c r="M166">
        <v>0.01</v>
      </c>
      <c r="N166">
        <v>6448.21</v>
      </c>
      <c r="O166">
        <v>71.599999999999994</v>
      </c>
      <c r="P166" s="1" t="s">
        <v>69</v>
      </c>
      <c r="Q166" s="1" t="s">
        <v>34</v>
      </c>
      <c r="R166" s="1" t="s">
        <v>36</v>
      </c>
      <c r="S166" s="1" t="s">
        <v>35</v>
      </c>
      <c r="T166" s="1" t="s">
        <v>75</v>
      </c>
      <c r="U166">
        <v>3.8</v>
      </c>
      <c r="V166" s="1" t="s">
        <v>155</v>
      </c>
      <c r="W166" s="1" t="s">
        <v>35</v>
      </c>
      <c r="X166">
        <v>24409</v>
      </c>
      <c r="Y166" s="1" t="s">
        <v>46</v>
      </c>
      <c r="Z166" s="1" t="s">
        <v>80</v>
      </c>
      <c r="AA166">
        <v>0</v>
      </c>
      <c r="AB166" s="1" t="s">
        <v>480</v>
      </c>
      <c r="AC166" s="1" t="s">
        <v>483</v>
      </c>
      <c r="AD166" s="1" t="str">
        <f>IF(AC166="no", "", IF(A166="Australia", "Low-Density Developed Outlier", IF(A166="Liechtenstein", "Ultra-Wealthy Microstate", IF(A166="Monaco", "Extreme Density Microstate", IF(A166="Singapore", "High-Density City-State", "Unclassified Outlier")))))</f>
        <v/>
      </c>
    </row>
    <row r="167" spans="1:30" x14ac:dyDescent="0.35">
      <c r="A167" s="1" t="s">
        <v>423</v>
      </c>
      <c r="B167" s="1" t="s">
        <v>424</v>
      </c>
      <c r="C167" s="1" t="s">
        <v>68</v>
      </c>
      <c r="D167" s="1" t="s">
        <v>57</v>
      </c>
      <c r="E167">
        <v>9.39</v>
      </c>
      <c r="F167" s="1" t="s">
        <v>58</v>
      </c>
      <c r="G167" s="1" t="s">
        <v>59</v>
      </c>
      <c r="H167">
        <v>59.3294</v>
      </c>
      <c r="I167">
        <v>18.0686</v>
      </c>
      <c r="J167">
        <v>447425</v>
      </c>
      <c r="K167">
        <v>10486941</v>
      </c>
      <c r="L167">
        <v>530832908738</v>
      </c>
      <c r="M167">
        <v>7.0000000000000007E-2</v>
      </c>
      <c r="N167">
        <v>50618.47</v>
      </c>
      <c r="O167">
        <v>82.5</v>
      </c>
      <c r="P167" s="1" t="s">
        <v>33</v>
      </c>
      <c r="Q167" s="1" t="s">
        <v>34</v>
      </c>
      <c r="R167" s="1" t="s">
        <v>35</v>
      </c>
      <c r="S167" s="1" t="s">
        <v>35</v>
      </c>
      <c r="T167" s="1" t="s">
        <v>44</v>
      </c>
      <c r="U167">
        <v>23.4</v>
      </c>
      <c r="V167" s="1" t="s">
        <v>45</v>
      </c>
      <c r="W167" s="1" t="s">
        <v>35</v>
      </c>
      <c r="X167">
        <v>1186418</v>
      </c>
      <c r="Y167" s="1" t="s">
        <v>47</v>
      </c>
      <c r="Z167" s="1" t="s">
        <v>47</v>
      </c>
      <c r="AA167">
        <v>2</v>
      </c>
      <c r="AB167" s="1" t="s">
        <v>479</v>
      </c>
      <c r="AC167" s="1" t="s">
        <v>483</v>
      </c>
      <c r="AD167" s="1" t="str">
        <f>IF(AC167="no", "", IF(A167="Australia", "Low-Density Developed Outlier", IF(A167="Liechtenstein", "Ultra-Wealthy Microstate", IF(A167="Monaco", "Extreme Density Microstate", IF(A167="Singapore", "High-Density City-State", "Unclassified Outlier")))))</f>
        <v/>
      </c>
    </row>
    <row r="168" spans="1:30" x14ac:dyDescent="0.35">
      <c r="A168" s="1" t="s">
        <v>425</v>
      </c>
      <c r="B168" s="1" t="s">
        <v>426</v>
      </c>
      <c r="C168" s="1" t="s">
        <v>311</v>
      </c>
      <c r="D168" s="1" t="s">
        <v>57</v>
      </c>
      <c r="E168">
        <v>9.32</v>
      </c>
      <c r="F168" s="1" t="s">
        <v>58</v>
      </c>
      <c r="G168" s="1" t="s">
        <v>59</v>
      </c>
      <c r="H168">
        <v>46.948</v>
      </c>
      <c r="I168">
        <v>7.4474</v>
      </c>
      <c r="J168">
        <v>41285</v>
      </c>
      <c r="K168">
        <v>8769741</v>
      </c>
      <c r="L168">
        <v>703082435360</v>
      </c>
      <c r="M168">
        <v>0.38</v>
      </c>
      <c r="N168">
        <v>80171.399999999994</v>
      </c>
      <c r="O168">
        <v>83.6</v>
      </c>
      <c r="P168" s="1" t="s">
        <v>33</v>
      </c>
      <c r="Q168" s="1" t="s">
        <v>34</v>
      </c>
      <c r="R168" s="1" t="s">
        <v>35</v>
      </c>
      <c r="S168" s="1" t="s">
        <v>36</v>
      </c>
      <c r="T168" s="1" t="s">
        <v>44</v>
      </c>
      <c r="U168">
        <v>212.4</v>
      </c>
      <c r="V168" s="1" t="s">
        <v>60</v>
      </c>
      <c r="W168" s="1" t="s">
        <v>36</v>
      </c>
      <c r="X168">
        <v>17029973</v>
      </c>
      <c r="Y168" s="1" t="s">
        <v>47</v>
      </c>
      <c r="Z168" s="1" t="s">
        <v>47</v>
      </c>
      <c r="AA168">
        <v>2</v>
      </c>
      <c r="AB168" s="1" t="s">
        <v>479</v>
      </c>
      <c r="AC168" s="1" t="s">
        <v>483</v>
      </c>
      <c r="AD168" s="1" t="str">
        <f>IF(AC168="no", "", IF(A168="Australia", "Low-Density Developed Outlier", IF(A168="Liechtenstein", "Ultra-Wealthy Microstate", IF(A168="Monaco", "Extreme Density Microstate", IF(A168="Singapore", "High-Density City-State", "Unclassified Outlier")))))</f>
        <v/>
      </c>
    </row>
    <row r="169" spans="1:30" x14ac:dyDescent="0.35">
      <c r="A169" s="1" t="s">
        <v>427</v>
      </c>
      <c r="B169" s="1" t="s">
        <v>428</v>
      </c>
      <c r="C169" s="1" t="s">
        <v>129</v>
      </c>
      <c r="D169" s="1" t="s">
        <v>30</v>
      </c>
      <c r="E169">
        <v>1.32</v>
      </c>
      <c r="F169" s="1" t="s">
        <v>31</v>
      </c>
      <c r="G169" s="1" t="s">
        <v>32</v>
      </c>
      <c r="H169">
        <v>33.513100000000001</v>
      </c>
      <c r="I169">
        <v>36.291899999999998</v>
      </c>
      <c r="J169">
        <v>185180</v>
      </c>
      <c r="K169">
        <v>22125249</v>
      </c>
      <c r="L169">
        <v>40405006007</v>
      </c>
      <c r="M169">
        <v>0.76</v>
      </c>
      <c r="N169">
        <v>1826.19</v>
      </c>
      <c r="O169">
        <v>71.8</v>
      </c>
      <c r="P169" s="1" t="s">
        <v>33</v>
      </c>
      <c r="Q169" s="1" t="s">
        <v>34</v>
      </c>
      <c r="R169" s="1" t="s">
        <v>35</v>
      </c>
      <c r="S169" s="1" t="s">
        <v>36</v>
      </c>
      <c r="T169" s="1" t="s">
        <v>37</v>
      </c>
      <c r="U169">
        <v>119.5</v>
      </c>
      <c r="V169" s="1" t="s">
        <v>79</v>
      </c>
      <c r="W169" s="1" t="s">
        <v>35</v>
      </c>
      <c r="X169">
        <v>218193</v>
      </c>
      <c r="Y169" s="1" t="s">
        <v>53</v>
      </c>
      <c r="Z169" s="1" t="s">
        <v>80</v>
      </c>
      <c r="AA169">
        <v>3</v>
      </c>
      <c r="AB169" s="1" t="s">
        <v>478</v>
      </c>
      <c r="AC169" s="1" t="s">
        <v>483</v>
      </c>
      <c r="AD169" s="1" t="str">
        <f>IF(AC169="no", "", IF(A169="Australia", "Low-Density Developed Outlier", IF(A169="Liechtenstein", "Ultra-Wealthy Microstate", IF(A169="Monaco", "Extreme Density Microstate", IF(A169="Singapore", "High-Density City-State", "Unclassified Outlier")))))</f>
        <v/>
      </c>
    </row>
    <row r="170" spans="1:30" x14ac:dyDescent="0.35">
      <c r="A170" s="1" t="s">
        <v>429</v>
      </c>
      <c r="B170" s="1" t="s">
        <v>430</v>
      </c>
      <c r="C170" s="1" t="s">
        <v>50</v>
      </c>
      <c r="D170" s="1" t="s">
        <v>30</v>
      </c>
      <c r="E170">
        <v>1.83</v>
      </c>
      <c r="F170" s="1" t="s">
        <v>31</v>
      </c>
      <c r="G170" s="1" t="s">
        <v>32</v>
      </c>
      <c r="H170">
        <v>38.56</v>
      </c>
      <c r="I170">
        <v>68.77</v>
      </c>
      <c r="J170">
        <v>143100</v>
      </c>
      <c r="K170">
        <v>9952787</v>
      </c>
      <c r="L170">
        <v>8116626794</v>
      </c>
      <c r="M170">
        <v>0.34</v>
      </c>
      <c r="N170">
        <v>815.51</v>
      </c>
      <c r="O170">
        <v>70.900000000000006</v>
      </c>
      <c r="P170" s="1" t="s">
        <v>33</v>
      </c>
      <c r="Q170" s="1" t="s">
        <v>34</v>
      </c>
      <c r="R170" s="1" t="s">
        <v>35</v>
      </c>
      <c r="S170" s="1" t="s">
        <v>36</v>
      </c>
      <c r="T170" s="1" t="s">
        <v>37</v>
      </c>
      <c r="U170">
        <v>69.599999999999994</v>
      </c>
      <c r="V170" s="1" t="s">
        <v>264</v>
      </c>
      <c r="W170" s="1" t="s">
        <v>36</v>
      </c>
      <c r="X170">
        <v>56720</v>
      </c>
      <c r="Y170" s="1" t="s">
        <v>39</v>
      </c>
      <c r="Z170" s="1" t="s">
        <v>80</v>
      </c>
      <c r="AA170">
        <v>3</v>
      </c>
      <c r="AB170" s="1" t="s">
        <v>478</v>
      </c>
      <c r="AC170" s="1" t="s">
        <v>483</v>
      </c>
      <c r="AD170" s="1" t="str">
        <f>IF(AC170="no", "", IF(A170="Australia", "Low-Density Developed Outlier", IF(A170="Liechtenstein", "Ultra-Wealthy Microstate", IF(A170="Monaco", "Extreme Density Microstate", IF(A170="Singapore", "High-Density City-State", "Unclassified Outlier")))))</f>
        <v/>
      </c>
    </row>
    <row r="171" spans="1:30" x14ac:dyDescent="0.35">
      <c r="A171" s="1" t="s">
        <v>431</v>
      </c>
      <c r="B171" s="1" t="s">
        <v>432</v>
      </c>
      <c r="C171" s="1" t="s">
        <v>50</v>
      </c>
      <c r="D171" s="1" t="s">
        <v>57</v>
      </c>
      <c r="E171">
        <v>5.2</v>
      </c>
      <c r="F171" s="1" t="s">
        <v>63</v>
      </c>
      <c r="G171" s="1" t="s">
        <v>32</v>
      </c>
      <c r="H171">
        <v>-6.1835000000000004</v>
      </c>
      <c r="I171">
        <v>35.746000000000002</v>
      </c>
      <c r="J171">
        <v>947303</v>
      </c>
      <c r="K171">
        <v>65497748</v>
      </c>
      <c r="L171">
        <v>63177068175</v>
      </c>
      <c r="M171">
        <v>0.45</v>
      </c>
      <c r="N171">
        <v>964.57</v>
      </c>
      <c r="O171">
        <v>65</v>
      </c>
      <c r="P171" s="1" t="s">
        <v>33</v>
      </c>
      <c r="Q171" s="1" t="s">
        <v>64</v>
      </c>
      <c r="R171" s="1" t="s">
        <v>36</v>
      </c>
      <c r="S171" s="1" t="s">
        <v>36</v>
      </c>
      <c r="T171" s="1" t="s">
        <v>51</v>
      </c>
      <c r="U171">
        <v>69.099999999999994</v>
      </c>
      <c r="V171" s="1" t="s">
        <v>65</v>
      </c>
      <c r="W171" s="1" t="s">
        <v>35</v>
      </c>
      <c r="X171">
        <v>66692</v>
      </c>
      <c r="Y171" s="1" t="s">
        <v>39</v>
      </c>
      <c r="Z171" s="1" t="s">
        <v>80</v>
      </c>
      <c r="AA171">
        <v>1</v>
      </c>
      <c r="AB171" s="1" t="s">
        <v>481</v>
      </c>
      <c r="AC171" s="1" t="s">
        <v>483</v>
      </c>
      <c r="AD171" s="1" t="str">
        <f>IF(AC171="no", "", IF(A171="Australia", "Low-Density Developed Outlier", IF(A171="Liechtenstein", "Ultra-Wealthy Microstate", IF(A171="Monaco", "Extreme Density Microstate", IF(A171="Singapore", "High-Density City-State", "Unclassified Outlier")))))</f>
        <v/>
      </c>
    </row>
    <row r="172" spans="1:30" x14ac:dyDescent="0.35">
      <c r="A172" s="1" t="s">
        <v>433</v>
      </c>
      <c r="B172" s="1" t="s">
        <v>434</v>
      </c>
      <c r="C172" s="1" t="s">
        <v>68</v>
      </c>
      <c r="D172" s="1" t="s">
        <v>110</v>
      </c>
      <c r="E172">
        <v>6.27</v>
      </c>
      <c r="F172" s="1" t="s">
        <v>43</v>
      </c>
      <c r="G172" s="1" t="s">
        <v>32</v>
      </c>
      <c r="H172">
        <v>13.75</v>
      </c>
      <c r="I172">
        <v>100.5</v>
      </c>
      <c r="J172">
        <v>513120</v>
      </c>
      <c r="K172">
        <v>71697030</v>
      </c>
      <c r="L172">
        <v>543649976166</v>
      </c>
      <c r="M172">
        <v>0.43</v>
      </c>
      <c r="N172">
        <v>7582.6</v>
      </c>
      <c r="O172">
        <v>76.900000000000006</v>
      </c>
      <c r="P172" s="1" t="s">
        <v>33</v>
      </c>
      <c r="Q172" s="1" t="s">
        <v>34</v>
      </c>
      <c r="R172" s="1" t="s">
        <v>36</v>
      </c>
      <c r="S172" s="1" t="s">
        <v>36</v>
      </c>
      <c r="T172" s="1" t="s">
        <v>37</v>
      </c>
      <c r="U172">
        <v>139.69999999999999</v>
      </c>
      <c r="V172" s="1" t="s">
        <v>124</v>
      </c>
      <c r="W172" s="1" t="s">
        <v>35</v>
      </c>
      <c r="X172">
        <v>1059499</v>
      </c>
      <c r="Y172" s="1" t="s">
        <v>46</v>
      </c>
      <c r="Z172" s="1" t="s">
        <v>47</v>
      </c>
      <c r="AA172">
        <v>0</v>
      </c>
      <c r="AB172" s="1" t="s">
        <v>480</v>
      </c>
      <c r="AC172" s="1" t="s">
        <v>483</v>
      </c>
      <c r="AD172" s="1" t="str">
        <f>IF(AC172="no", "", IF(A172="Australia", "Low-Density Developed Outlier", IF(A172="Liechtenstein", "Ultra-Wealthy Microstate", IF(A172="Monaco", "Extreme Density Microstate", IF(A172="Singapore", "High-Density City-State", "Unclassified Outlier")))))</f>
        <v/>
      </c>
    </row>
    <row r="173" spans="1:30" x14ac:dyDescent="0.35">
      <c r="A173" s="1" t="s">
        <v>435</v>
      </c>
      <c r="B173" s="1" t="s">
        <v>436</v>
      </c>
      <c r="C173" s="1" t="s">
        <v>135</v>
      </c>
      <c r="D173" s="1" t="s">
        <v>57</v>
      </c>
      <c r="E173">
        <v>7.03</v>
      </c>
      <c r="F173" s="1" t="s">
        <v>43</v>
      </c>
      <c r="G173" s="1" t="s">
        <v>32</v>
      </c>
      <c r="H173">
        <v>-8.5535999999999994</v>
      </c>
      <c r="I173">
        <v>125.5783</v>
      </c>
      <c r="J173">
        <v>14919</v>
      </c>
      <c r="K173">
        <v>1341296</v>
      </c>
      <c r="L173">
        <v>1673540300</v>
      </c>
      <c r="M173">
        <v>0.26</v>
      </c>
      <c r="N173">
        <v>1247.7</v>
      </c>
      <c r="O173">
        <v>69.3</v>
      </c>
      <c r="P173" s="1" t="s">
        <v>33</v>
      </c>
      <c r="Q173" s="1" t="s">
        <v>64</v>
      </c>
      <c r="R173" s="1" t="s">
        <v>36</v>
      </c>
      <c r="S173" s="1" t="s">
        <v>36</v>
      </c>
      <c r="T173" s="1" t="s">
        <v>37</v>
      </c>
      <c r="U173">
        <v>89.9</v>
      </c>
      <c r="V173" s="1" t="s">
        <v>124</v>
      </c>
      <c r="W173" s="1" t="s">
        <v>35</v>
      </c>
      <c r="X173">
        <v>112175</v>
      </c>
      <c r="Y173" s="1" t="s">
        <v>53</v>
      </c>
      <c r="Z173" s="1" t="s">
        <v>80</v>
      </c>
      <c r="AA173">
        <v>0</v>
      </c>
      <c r="AB173" s="1" t="s">
        <v>480</v>
      </c>
      <c r="AC173" s="1" t="s">
        <v>483</v>
      </c>
      <c r="AD173" s="1" t="str">
        <f>IF(AC173="no", "", IF(A173="Australia", "Low-Density Developed Outlier", IF(A173="Liechtenstein", "Ultra-Wealthy Microstate", IF(A173="Monaco", "Extreme Density Microstate", IF(A173="Singapore", "High-Density City-State", "Unclassified Outlier")))))</f>
        <v/>
      </c>
    </row>
    <row r="174" spans="1:30" x14ac:dyDescent="0.35">
      <c r="A174" s="1" t="s">
        <v>437</v>
      </c>
      <c r="B174" s="1" t="s">
        <v>438</v>
      </c>
      <c r="C174" s="1" t="s">
        <v>50</v>
      </c>
      <c r="D174" s="1" t="s">
        <v>57</v>
      </c>
      <c r="E174">
        <v>2.99</v>
      </c>
      <c r="F174" s="1" t="s">
        <v>31</v>
      </c>
      <c r="G174" s="1" t="s">
        <v>32</v>
      </c>
      <c r="H174">
        <v>6.1318999999999999</v>
      </c>
      <c r="I174">
        <v>1.2228000000000001</v>
      </c>
      <c r="J174">
        <v>56785</v>
      </c>
      <c r="K174">
        <v>8848699</v>
      </c>
      <c r="L174">
        <v>5459979417</v>
      </c>
      <c r="M174">
        <v>0.7</v>
      </c>
      <c r="N174">
        <v>617.04</v>
      </c>
      <c r="O174">
        <v>60.8</v>
      </c>
      <c r="P174" s="1" t="s">
        <v>33</v>
      </c>
      <c r="Q174" s="1" t="s">
        <v>34</v>
      </c>
      <c r="R174" s="1" t="s">
        <v>36</v>
      </c>
      <c r="S174" s="1" t="s">
        <v>36</v>
      </c>
      <c r="T174" s="1" t="s">
        <v>51</v>
      </c>
      <c r="U174">
        <v>155.80000000000001</v>
      </c>
      <c r="V174" s="1" t="s">
        <v>65</v>
      </c>
      <c r="W174" s="1" t="s">
        <v>35</v>
      </c>
      <c r="X174">
        <v>96152</v>
      </c>
      <c r="Y174" s="1" t="s">
        <v>39</v>
      </c>
      <c r="Z174" s="1" t="s">
        <v>39</v>
      </c>
      <c r="AA174">
        <v>1</v>
      </c>
      <c r="AB174" s="1" t="s">
        <v>481</v>
      </c>
      <c r="AC174" s="1" t="s">
        <v>483</v>
      </c>
      <c r="AD174" s="1" t="str">
        <f>IF(AC174="no", "", IF(A174="Australia", "Low-Density Developed Outlier", IF(A174="Liechtenstein", "Ultra-Wealthy Microstate", IF(A174="Monaco", "Extreme Density Microstate", IF(A174="Singapore", "High-Density City-State", "Unclassified Outlier")))))</f>
        <v/>
      </c>
    </row>
    <row r="175" spans="1:30" x14ac:dyDescent="0.35">
      <c r="A175" s="1" t="s">
        <v>439</v>
      </c>
      <c r="B175" s="1" t="s">
        <v>440</v>
      </c>
      <c r="C175" s="1" t="s">
        <v>68</v>
      </c>
      <c r="D175" s="1" t="s">
        <v>57</v>
      </c>
      <c r="E175">
        <v>5.39</v>
      </c>
      <c r="F175" s="1" t="s">
        <v>63</v>
      </c>
      <c r="G175" s="1" t="s">
        <v>32</v>
      </c>
      <c r="H175">
        <v>-21.134699999999999</v>
      </c>
      <c r="I175">
        <v>-175.20830000000001</v>
      </c>
      <c r="J175">
        <v>749</v>
      </c>
      <c r="K175">
        <v>106858</v>
      </c>
      <c r="L175">
        <v>450353314</v>
      </c>
      <c r="M175">
        <v>0.46</v>
      </c>
      <c r="N175">
        <v>4214.5</v>
      </c>
      <c r="O175">
        <v>70.8</v>
      </c>
      <c r="P175" s="1" t="s">
        <v>69</v>
      </c>
      <c r="Q175" s="1" t="s">
        <v>64</v>
      </c>
      <c r="R175" s="1" t="s">
        <v>36</v>
      </c>
      <c r="S175" s="1" t="s">
        <v>36</v>
      </c>
      <c r="T175" s="1" t="s">
        <v>84</v>
      </c>
      <c r="U175">
        <v>142.69999999999999</v>
      </c>
      <c r="V175" s="1" t="s">
        <v>202</v>
      </c>
      <c r="W175" s="1" t="s">
        <v>35</v>
      </c>
      <c r="X175">
        <v>601273</v>
      </c>
      <c r="Y175" s="1" t="s">
        <v>46</v>
      </c>
      <c r="Z175" s="1" t="s">
        <v>80</v>
      </c>
      <c r="AA175">
        <v>1</v>
      </c>
      <c r="AB175" s="1" t="s">
        <v>481</v>
      </c>
      <c r="AC175" s="1" t="s">
        <v>483</v>
      </c>
      <c r="AD175" s="1" t="str">
        <f>IF(AC175="no", "", IF(A175="Australia", "Low-Density Developed Outlier", IF(A175="Liechtenstein", "Ultra-Wealthy Microstate", IF(A175="Monaco", "Extreme Density Microstate", IF(A175="Singapore", "High-Density City-State", "Unclassified Outlier")))))</f>
        <v/>
      </c>
    </row>
    <row r="176" spans="1:30" x14ac:dyDescent="0.35">
      <c r="A176" s="1" t="s">
        <v>441</v>
      </c>
      <c r="B176" s="1" t="s">
        <v>442</v>
      </c>
      <c r="C176" s="1" t="s">
        <v>42</v>
      </c>
      <c r="D176" s="1" t="s">
        <v>57</v>
      </c>
      <c r="E176">
        <v>7.09</v>
      </c>
      <c r="F176" s="1" t="s">
        <v>43</v>
      </c>
      <c r="G176" s="1" t="s">
        <v>32</v>
      </c>
      <c r="H176">
        <v>10.65</v>
      </c>
      <c r="I176">
        <v>-61.51</v>
      </c>
      <c r="J176">
        <v>5128</v>
      </c>
      <c r="K176">
        <v>1531044</v>
      </c>
      <c r="L176">
        <v>24100202834</v>
      </c>
      <c r="M176">
        <v>0.11</v>
      </c>
      <c r="N176">
        <v>15741.03</v>
      </c>
      <c r="O176">
        <v>73.400000000000006</v>
      </c>
      <c r="P176" s="1" t="s">
        <v>69</v>
      </c>
      <c r="Q176" s="1" t="s">
        <v>34</v>
      </c>
      <c r="R176" s="1" t="s">
        <v>36</v>
      </c>
      <c r="S176" s="1" t="s">
        <v>35</v>
      </c>
      <c r="T176" s="1" t="s">
        <v>70</v>
      </c>
      <c r="U176">
        <v>298.60000000000002</v>
      </c>
      <c r="V176" s="1" t="s">
        <v>71</v>
      </c>
      <c r="W176" s="1" t="s">
        <v>35</v>
      </c>
      <c r="X176">
        <v>4699728</v>
      </c>
      <c r="Y176" s="1" t="s">
        <v>47</v>
      </c>
      <c r="Z176" s="1" t="s">
        <v>80</v>
      </c>
      <c r="AA176">
        <v>0</v>
      </c>
      <c r="AB176" s="1" t="s">
        <v>480</v>
      </c>
      <c r="AC176" s="1" t="s">
        <v>483</v>
      </c>
      <c r="AD176" s="1" t="str">
        <f>IF(AC176="no", "", IF(A176="Australia", "Low-Density Developed Outlier", IF(A176="Liechtenstein", "Ultra-Wealthy Microstate", IF(A176="Monaco", "Extreme Density Microstate", IF(A176="Singapore", "High-Density City-State", "Unclassified Outlier")))))</f>
        <v/>
      </c>
    </row>
    <row r="177" spans="1:30" x14ac:dyDescent="0.35">
      <c r="A177" s="1" t="s">
        <v>443</v>
      </c>
      <c r="B177" s="1" t="s">
        <v>444</v>
      </c>
      <c r="C177" s="1" t="s">
        <v>50</v>
      </c>
      <c r="D177" s="1" t="s">
        <v>30</v>
      </c>
      <c r="E177">
        <v>4.71</v>
      </c>
      <c r="F177" s="1" t="s">
        <v>63</v>
      </c>
      <c r="G177" s="1" t="s">
        <v>32</v>
      </c>
      <c r="H177">
        <v>36.800800000000002</v>
      </c>
      <c r="I177">
        <v>10.18</v>
      </c>
      <c r="J177">
        <v>163610</v>
      </c>
      <c r="K177">
        <v>12356117</v>
      </c>
      <c r="L177">
        <v>38797709924</v>
      </c>
      <c r="M177">
        <v>0.65</v>
      </c>
      <c r="N177">
        <v>3139.96</v>
      </c>
      <c r="O177">
        <v>76.5</v>
      </c>
      <c r="P177" s="1" t="s">
        <v>33</v>
      </c>
      <c r="Q177" s="1" t="s">
        <v>34</v>
      </c>
      <c r="R177" s="1" t="s">
        <v>35</v>
      </c>
      <c r="S177" s="1" t="s">
        <v>36</v>
      </c>
      <c r="T177" s="1" t="s">
        <v>51</v>
      </c>
      <c r="U177">
        <v>75.5</v>
      </c>
      <c r="V177" s="1" t="s">
        <v>52</v>
      </c>
      <c r="W177" s="1" t="s">
        <v>35</v>
      </c>
      <c r="X177">
        <v>237135</v>
      </c>
      <c r="Y177" s="1" t="s">
        <v>53</v>
      </c>
      <c r="Z177" s="1" t="s">
        <v>47</v>
      </c>
      <c r="AA177">
        <v>3</v>
      </c>
      <c r="AB177" s="1" t="s">
        <v>478</v>
      </c>
      <c r="AC177" s="1" t="s">
        <v>483</v>
      </c>
      <c r="AD177" s="1" t="str">
        <f>IF(AC177="no", "", IF(A177="Australia", "Low-Density Developed Outlier", IF(A177="Liechtenstein", "Ultra-Wealthy Microstate", IF(A177="Monaco", "Extreme Density Microstate", IF(A177="Singapore", "High-Density City-State", "Unclassified Outlier")))))</f>
        <v/>
      </c>
    </row>
    <row r="178" spans="1:30" x14ac:dyDescent="0.35">
      <c r="A178" s="1" t="s">
        <v>445</v>
      </c>
      <c r="B178" s="1" t="s">
        <v>446</v>
      </c>
      <c r="C178" s="1" t="s">
        <v>50</v>
      </c>
      <c r="D178" s="1" t="s">
        <v>30</v>
      </c>
      <c r="E178">
        <v>4.26</v>
      </c>
      <c r="F178" s="1" t="s">
        <v>63</v>
      </c>
      <c r="G178" s="1" t="s">
        <v>32</v>
      </c>
      <c r="H178">
        <v>39.9358</v>
      </c>
      <c r="I178">
        <v>32.838700000000003</v>
      </c>
      <c r="J178">
        <v>783562</v>
      </c>
      <c r="K178">
        <v>85341241</v>
      </c>
      <c r="L178">
        <v>754411708203</v>
      </c>
      <c r="M178">
        <v>0.5</v>
      </c>
      <c r="N178">
        <v>8839.94</v>
      </c>
      <c r="O178">
        <v>77.400000000000006</v>
      </c>
      <c r="P178" s="1" t="s">
        <v>33</v>
      </c>
      <c r="Q178" s="1" t="s">
        <v>34</v>
      </c>
      <c r="R178" s="1" t="s">
        <v>35</v>
      </c>
      <c r="S178" s="1" t="s">
        <v>36</v>
      </c>
      <c r="T178" s="1" t="s">
        <v>37</v>
      </c>
      <c r="U178">
        <v>108.9</v>
      </c>
      <c r="V178" s="1" t="s">
        <v>79</v>
      </c>
      <c r="W178" s="1" t="s">
        <v>35</v>
      </c>
      <c r="X178">
        <v>962798</v>
      </c>
      <c r="Y178" s="1" t="s">
        <v>46</v>
      </c>
      <c r="Z178" s="1" t="s">
        <v>47</v>
      </c>
      <c r="AA178">
        <v>3</v>
      </c>
      <c r="AB178" s="1" t="s">
        <v>478</v>
      </c>
      <c r="AC178" s="1" t="s">
        <v>483</v>
      </c>
      <c r="AD178" s="1" t="str">
        <f>IF(AC178="no", "", IF(A178="Australia", "Low-Density Developed Outlier", IF(A178="Liechtenstein", "Ultra-Wealthy Microstate", IF(A178="Monaco", "Extreme Density Microstate", IF(A178="Singapore", "High-Density City-State", "Unclassified Outlier")))))</f>
        <v/>
      </c>
    </row>
    <row r="179" spans="1:30" x14ac:dyDescent="0.35">
      <c r="A179" s="1" t="s">
        <v>447</v>
      </c>
      <c r="B179" s="1" t="s">
        <v>448</v>
      </c>
      <c r="C179" s="1" t="s">
        <v>50</v>
      </c>
      <c r="D179" s="1" t="s">
        <v>30</v>
      </c>
      <c r="E179">
        <v>1.66</v>
      </c>
      <c r="F179" s="1" t="s">
        <v>31</v>
      </c>
      <c r="G179" s="1" t="s">
        <v>32</v>
      </c>
      <c r="H179">
        <v>37.950000000000003</v>
      </c>
      <c r="I179">
        <v>58.38</v>
      </c>
      <c r="J179">
        <v>491210</v>
      </c>
      <c r="K179">
        <v>6430770</v>
      </c>
      <c r="L179">
        <v>40761142857</v>
      </c>
      <c r="M179">
        <v>0.72</v>
      </c>
      <c r="N179">
        <v>6338.45</v>
      </c>
      <c r="O179">
        <v>68.099999999999994</v>
      </c>
      <c r="P179" s="1" t="s">
        <v>33</v>
      </c>
      <c r="Q179" s="1" t="s">
        <v>34</v>
      </c>
      <c r="R179" s="1" t="s">
        <v>35</v>
      </c>
      <c r="S179" s="1" t="s">
        <v>36</v>
      </c>
      <c r="T179" s="1" t="s">
        <v>37</v>
      </c>
      <c r="U179">
        <v>13.1</v>
      </c>
      <c r="V179" s="1" t="s">
        <v>79</v>
      </c>
      <c r="W179" s="1" t="s">
        <v>36</v>
      </c>
      <c r="X179">
        <v>82981</v>
      </c>
      <c r="Y179" s="1" t="s">
        <v>46</v>
      </c>
      <c r="Z179" s="1" t="s">
        <v>80</v>
      </c>
      <c r="AA179">
        <v>3</v>
      </c>
      <c r="AB179" s="1" t="s">
        <v>478</v>
      </c>
      <c r="AC179" s="1" t="s">
        <v>483</v>
      </c>
      <c r="AD179" s="1" t="str">
        <f>IF(AC179="no", "", IF(A179="Australia", "Low-Density Developed Outlier", IF(A179="Liechtenstein", "Ultra-Wealthy Microstate", IF(A179="Monaco", "Extreme Density Microstate", IF(A179="Singapore", "High-Density City-State", "Unclassified Outlier")))))</f>
        <v/>
      </c>
    </row>
    <row r="180" spans="1:30" x14ac:dyDescent="0.35">
      <c r="A180" s="1" t="s">
        <v>449</v>
      </c>
      <c r="B180" s="1" t="s">
        <v>450</v>
      </c>
      <c r="C180" s="1" t="s">
        <v>68</v>
      </c>
      <c r="D180" s="1" t="s">
        <v>57</v>
      </c>
      <c r="E180">
        <v>5.39</v>
      </c>
      <c r="F180" s="1" t="s">
        <v>63</v>
      </c>
      <c r="G180" s="1" t="s">
        <v>32</v>
      </c>
      <c r="H180">
        <v>-8.52</v>
      </c>
      <c r="I180">
        <v>179.2</v>
      </c>
      <c r="J180">
        <v>26</v>
      </c>
      <c r="K180">
        <v>11312</v>
      </c>
      <c r="L180">
        <v>47271463</v>
      </c>
      <c r="M180">
        <v>0.6</v>
      </c>
      <c r="N180">
        <v>4178.88</v>
      </c>
      <c r="O180">
        <v>68</v>
      </c>
      <c r="P180" s="1" t="s">
        <v>33</v>
      </c>
      <c r="Q180" s="1" t="s">
        <v>64</v>
      </c>
      <c r="R180" s="1" t="s">
        <v>36</v>
      </c>
      <c r="S180" s="1" t="s">
        <v>36</v>
      </c>
      <c r="T180" s="1" t="s">
        <v>84</v>
      </c>
      <c r="U180">
        <v>435.1</v>
      </c>
      <c r="V180" s="1" t="s">
        <v>202</v>
      </c>
      <c r="W180" s="1" t="s">
        <v>35</v>
      </c>
      <c r="X180">
        <v>1818133</v>
      </c>
      <c r="Y180" s="1" t="s">
        <v>46</v>
      </c>
      <c r="Z180" s="1" t="s">
        <v>80</v>
      </c>
      <c r="AA180">
        <v>1</v>
      </c>
      <c r="AB180" s="1" t="s">
        <v>481</v>
      </c>
      <c r="AC180" s="1" t="s">
        <v>483</v>
      </c>
      <c r="AD180" s="1" t="str">
        <f>IF(AC180="no", "", IF(A180="Australia", "Low-Density Developed Outlier", IF(A180="Liechtenstein", "Ultra-Wealthy Microstate", IF(A180="Monaco", "Extreme Density Microstate", IF(A180="Singapore", "High-Density City-State", "Unclassified Outlier")))))</f>
        <v/>
      </c>
    </row>
    <row r="181" spans="1:30" x14ac:dyDescent="0.35">
      <c r="A181" s="1" t="s">
        <v>451</v>
      </c>
      <c r="B181" s="1" t="s">
        <v>452</v>
      </c>
      <c r="C181" s="1" t="s">
        <v>50</v>
      </c>
      <c r="D181" s="1" t="s">
        <v>57</v>
      </c>
      <c r="E181">
        <v>4.49</v>
      </c>
      <c r="F181" s="1" t="s">
        <v>63</v>
      </c>
      <c r="G181" s="1" t="s">
        <v>32</v>
      </c>
      <c r="H181">
        <v>0.31</v>
      </c>
      <c r="I181">
        <v>32.58</v>
      </c>
      <c r="J181">
        <v>241038</v>
      </c>
      <c r="K181">
        <v>47249585</v>
      </c>
      <c r="L181">
        <v>34387229486</v>
      </c>
      <c r="M181">
        <v>0.72</v>
      </c>
      <c r="N181">
        <v>727.78</v>
      </c>
      <c r="O181">
        <v>63</v>
      </c>
      <c r="P181" s="1" t="s">
        <v>33</v>
      </c>
      <c r="Q181" s="1" t="s">
        <v>34</v>
      </c>
      <c r="R181" s="1" t="s">
        <v>36</v>
      </c>
      <c r="S181" s="1" t="s">
        <v>36</v>
      </c>
      <c r="T181" s="1" t="s">
        <v>51</v>
      </c>
      <c r="U181">
        <v>196</v>
      </c>
      <c r="V181" s="1" t="s">
        <v>65</v>
      </c>
      <c r="W181" s="1" t="s">
        <v>36</v>
      </c>
      <c r="X181">
        <v>142663</v>
      </c>
      <c r="Y181" s="1" t="s">
        <v>39</v>
      </c>
      <c r="Z181" s="1" t="s">
        <v>39</v>
      </c>
      <c r="AA181">
        <v>1</v>
      </c>
      <c r="AB181" s="1" t="s">
        <v>481</v>
      </c>
      <c r="AC181" s="1" t="s">
        <v>483</v>
      </c>
      <c r="AD181" s="1" t="str">
        <f>IF(AC181="no", "", IF(A181="Australia", "Low-Density Developed Outlier", IF(A181="Liechtenstein", "Ultra-Wealthy Microstate", IF(A181="Monaco", "Extreme Density Microstate", IF(A181="Singapore", "High-Density City-State", "Unclassified Outlier")))))</f>
        <v/>
      </c>
    </row>
    <row r="182" spans="1:30" x14ac:dyDescent="0.35">
      <c r="A182" s="1" t="s">
        <v>453</v>
      </c>
      <c r="B182" s="1" t="s">
        <v>454</v>
      </c>
      <c r="C182" s="1" t="s">
        <v>135</v>
      </c>
      <c r="D182" s="1" t="s">
        <v>57</v>
      </c>
      <c r="E182">
        <v>4.9000000000000004</v>
      </c>
      <c r="F182" s="1" t="s">
        <v>63</v>
      </c>
      <c r="G182" s="1" t="s">
        <v>32</v>
      </c>
      <c r="H182">
        <v>50.45</v>
      </c>
      <c r="I182">
        <v>30.52</v>
      </c>
      <c r="J182">
        <v>603550</v>
      </c>
      <c r="K182">
        <v>38000000</v>
      </c>
      <c r="L182">
        <v>153781069118</v>
      </c>
      <c r="M182">
        <v>0.72</v>
      </c>
      <c r="N182">
        <v>4046.87</v>
      </c>
      <c r="O182">
        <v>71.599999999999994</v>
      </c>
      <c r="P182" s="1" t="s">
        <v>33</v>
      </c>
      <c r="Q182" s="1" t="s">
        <v>34</v>
      </c>
      <c r="R182" s="1" t="s">
        <v>35</v>
      </c>
      <c r="S182" s="1" t="s">
        <v>36</v>
      </c>
      <c r="T182" s="1" t="s">
        <v>44</v>
      </c>
      <c r="U182">
        <v>63</v>
      </c>
      <c r="V182" s="1" t="s">
        <v>101</v>
      </c>
      <c r="W182" s="1" t="s">
        <v>35</v>
      </c>
      <c r="X182">
        <v>254794</v>
      </c>
      <c r="Y182" s="1" t="s">
        <v>46</v>
      </c>
      <c r="Z182" s="1" t="s">
        <v>80</v>
      </c>
      <c r="AA182">
        <v>3</v>
      </c>
      <c r="AB182" s="1" t="s">
        <v>478</v>
      </c>
      <c r="AC182" s="1" t="s">
        <v>483</v>
      </c>
      <c r="AD182" s="1" t="str">
        <f>IF(AC182="no", "", IF(A182="Australia", "Low-Density Developed Outlier", IF(A182="Liechtenstein", "Ultra-Wealthy Microstate", IF(A182="Monaco", "Extreme Density Microstate", IF(A182="Singapore", "High-Density City-State", "Unclassified Outlier")))))</f>
        <v/>
      </c>
    </row>
    <row r="183" spans="1:30" x14ac:dyDescent="0.35">
      <c r="A183" s="1" t="s">
        <v>455</v>
      </c>
      <c r="B183" s="1" t="s">
        <v>456</v>
      </c>
      <c r="C183" s="1" t="s">
        <v>83</v>
      </c>
      <c r="D183" s="1" t="s">
        <v>30</v>
      </c>
      <c r="E183">
        <v>3.07</v>
      </c>
      <c r="F183" s="1" t="s">
        <v>31</v>
      </c>
      <c r="G183" s="1" t="s">
        <v>32</v>
      </c>
      <c r="H183">
        <v>24.4511</v>
      </c>
      <c r="I183">
        <v>54.396900000000002</v>
      </c>
      <c r="J183">
        <v>83600</v>
      </c>
      <c r="K183">
        <v>9441129</v>
      </c>
      <c r="L183">
        <v>421142267938</v>
      </c>
      <c r="M183">
        <v>0.06</v>
      </c>
      <c r="N183">
        <v>44607.19</v>
      </c>
      <c r="O183">
        <v>77.8</v>
      </c>
      <c r="P183" s="1" t="s">
        <v>33</v>
      </c>
      <c r="Q183" s="1" t="s">
        <v>34</v>
      </c>
      <c r="R183" s="1" t="s">
        <v>35</v>
      </c>
      <c r="S183" s="1" t="s">
        <v>35</v>
      </c>
      <c r="T183" s="1" t="s">
        <v>37</v>
      </c>
      <c r="U183">
        <v>112.9</v>
      </c>
      <c r="V183" s="1" t="s">
        <v>79</v>
      </c>
      <c r="W183" s="1" t="s">
        <v>35</v>
      </c>
      <c r="X183">
        <v>5037587</v>
      </c>
      <c r="Y183" s="1" t="s">
        <v>47</v>
      </c>
      <c r="Z183" s="1" t="s">
        <v>47</v>
      </c>
      <c r="AA183">
        <v>0</v>
      </c>
      <c r="AB183" s="1" t="s">
        <v>480</v>
      </c>
      <c r="AC183" s="1" t="s">
        <v>483</v>
      </c>
      <c r="AD183" s="1" t="str">
        <f>IF(AC183="no", "", IF(A183="Australia", "Low-Density Developed Outlier", IF(A183="Liechtenstein", "Ultra-Wealthy Microstate", IF(A183="Monaco", "Extreme Density Microstate", IF(A183="Singapore", "High-Density City-State", "Unclassified Outlier")))))</f>
        <v/>
      </c>
    </row>
    <row r="184" spans="1:30" x14ac:dyDescent="0.35">
      <c r="A184" s="1" t="s">
        <v>457</v>
      </c>
      <c r="B184" s="1" t="s">
        <v>458</v>
      </c>
      <c r="C184" s="1" t="s">
        <v>68</v>
      </c>
      <c r="D184" s="1" t="s">
        <v>57</v>
      </c>
      <c r="E184">
        <v>8.34</v>
      </c>
      <c r="F184" s="1" t="s">
        <v>58</v>
      </c>
      <c r="G184" s="1" t="s">
        <v>59</v>
      </c>
      <c r="H184">
        <v>51.507199999999997</v>
      </c>
      <c r="I184">
        <v>-0.1275</v>
      </c>
      <c r="J184">
        <v>242495</v>
      </c>
      <c r="K184">
        <v>66971411</v>
      </c>
      <c r="L184">
        <v>2827113184696</v>
      </c>
      <c r="M184">
        <v>0.72</v>
      </c>
      <c r="N184">
        <v>42213.73</v>
      </c>
      <c r="O184">
        <v>81.3</v>
      </c>
      <c r="P184" s="1" t="s">
        <v>69</v>
      </c>
      <c r="Q184" s="1" t="s">
        <v>34</v>
      </c>
      <c r="R184" s="1" t="s">
        <v>35</v>
      </c>
      <c r="S184" s="1" t="s">
        <v>36</v>
      </c>
      <c r="T184" s="1" t="s">
        <v>44</v>
      </c>
      <c r="U184">
        <v>276.2</v>
      </c>
      <c r="V184" s="1" t="s">
        <v>60</v>
      </c>
      <c r="W184" s="1" t="s">
        <v>35</v>
      </c>
      <c r="X184">
        <v>11658439</v>
      </c>
      <c r="Y184" s="1" t="s">
        <v>47</v>
      </c>
      <c r="Z184" s="1" t="s">
        <v>47</v>
      </c>
      <c r="AA184">
        <v>2</v>
      </c>
      <c r="AB184" s="1" t="s">
        <v>479</v>
      </c>
      <c r="AC184" s="1" t="s">
        <v>483</v>
      </c>
      <c r="AD184" s="1" t="str">
        <f>IF(AC184="no", "", IF(A184="Australia", "Low-Density Developed Outlier", IF(A184="Liechtenstein", "Ultra-Wealthy Microstate", IF(A184="Monaco", "Extreme Density Microstate", IF(A184="Singapore", "High-Density City-State", "Unclassified Outlier")))))</f>
        <v/>
      </c>
    </row>
    <row r="185" spans="1:30" x14ac:dyDescent="0.35">
      <c r="A185" s="1" t="s">
        <v>459</v>
      </c>
      <c r="B185" s="1" t="s">
        <v>460</v>
      </c>
      <c r="C185" s="1" t="s">
        <v>74</v>
      </c>
      <c r="D185" s="1" t="s">
        <v>57</v>
      </c>
      <c r="E185">
        <v>7.85</v>
      </c>
      <c r="F185" s="1" t="s">
        <v>43</v>
      </c>
      <c r="G185" s="1" t="s">
        <v>59</v>
      </c>
      <c r="H185">
        <v>38.9</v>
      </c>
      <c r="I185">
        <v>-77.040000000000006</v>
      </c>
      <c r="J185">
        <v>9826675</v>
      </c>
      <c r="K185">
        <v>333287557</v>
      </c>
      <c r="L185">
        <v>21427700000000</v>
      </c>
      <c r="M185">
        <v>0.44</v>
      </c>
      <c r="N185">
        <v>64291.93</v>
      </c>
      <c r="O185">
        <v>78.5</v>
      </c>
      <c r="P185" s="1" t="s">
        <v>69</v>
      </c>
      <c r="Q185" s="1" t="s">
        <v>34</v>
      </c>
      <c r="R185" s="1" t="s">
        <v>35</v>
      </c>
      <c r="S185" s="1" t="s">
        <v>36</v>
      </c>
      <c r="T185" s="1" t="s">
        <v>70</v>
      </c>
      <c r="U185">
        <v>33.9</v>
      </c>
      <c r="V185" s="1" t="s">
        <v>70</v>
      </c>
      <c r="W185" s="1" t="s">
        <v>35</v>
      </c>
      <c r="X185">
        <v>2180565</v>
      </c>
      <c r="Y185" s="1" t="s">
        <v>47</v>
      </c>
      <c r="Z185" s="1" t="s">
        <v>47</v>
      </c>
      <c r="AA185">
        <v>2</v>
      </c>
      <c r="AB185" s="1" t="s">
        <v>479</v>
      </c>
      <c r="AC185" s="1" t="s">
        <v>483</v>
      </c>
      <c r="AD185" s="1" t="str">
        <f>IF(AC185="no", "", IF(A185="Australia", "Low-Density Developed Outlier", IF(A185="Liechtenstein", "Ultra-Wealthy Microstate", IF(A185="Monaco", "Extreme Density Microstate", IF(A185="Singapore", "High-Density City-State", "Unclassified Outlier")))))</f>
        <v/>
      </c>
    </row>
    <row r="186" spans="1:30" x14ac:dyDescent="0.35">
      <c r="A186" s="1" t="s">
        <v>461</v>
      </c>
      <c r="B186" s="1" t="s">
        <v>462</v>
      </c>
      <c r="C186" s="1" t="s">
        <v>50</v>
      </c>
      <c r="D186" s="1" t="s">
        <v>57</v>
      </c>
      <c r="E186">
        <v>8.67</v>
      </c>
      <c r="F186" s="1" t="s">
        <v>58</v>
      </c>
      <c r="G186" s="1" t="s">
        <v>32</v>
      </c>
      <c r="H186">
        <v>-34.866700000000002</v>
      </c>
      <c r="I186">
        <v>-56.166699999999999</v>
      </c>
      <c r="J186">
        <v>176215</v>
      </c>
      <c r="K186">
        <v>3422794</v>
      </c>
      <c r="L186">
        <v>56045912952</v>
      </c>
      <c r="M186">
        <v>0.83</v>
      </c>
      <c r="N186">
        <v>16374.32</v>
      </c>
      <c r="O186">
        <v>77.8</v>
      </c>
      <c r="P186" s="1" t="s">
        <v>69</v>
      </c>
      <c r="Q186" s="1" t="s">
        <v>64</v>
      </c>
      <c r="R186" s="1" t="s">
        <v>35</v>
      </c>
      <c r="S186" s="1" t="s">
        <v>36</v>
      </c>
      <c r="T186" s="1" t="s">
        <v>75</v>
      </c>
      <c r="U186">
        <v>19.399999999999999</v>
      </c>
      <c r="V186" s="1" t="s">
        <v>76</v>
      </c>
      <c r="W186" s="1" t="s">
        <v>35</v>
      </c>
      <c r="X186">
        <v>318054</v>
      </c>
      <c r="Y186" s="1" t="s">
        <v>47</v>
      </c>
      <c r="Z186" s="1" t="s">
        <v>47</v>
      </c>
      <c r="AA186">
        <v>1</v>
      </c>
      <c r="AB186" s="1" t="s">
        <v>481</v>
      </c>
      <c r="AC186" s="1" t="s">
        <v>483</v>
      </c>
      <c r="AD186" s="1" t="str">
        <f>IF(AC186="no", "", IF(A186="Australia", "Low-Density Developed Outlier", IF(A186="Liechtenstein", "Ultra-Wealthy Microstate", IF(A186="Monaco", "Extreme Density Microstate", IF(A186="Singapore", "High-Density City-State", "Unclassified Outlier")))))</f>
        <v/>
      </c>
    </row>
    <row r="187" spans="1:30" x14ac:dyDescent="0.35">
      <c r="A187" s="1" t="s">
        <v>463</v>
      </c>
      <c r="B187" s="1" t="s">
        <v>464</v>
      </c>
      <c r="C187" s="1" t="s">
        <v>50</v>
      </c>
      <c r="D187" s="1" t="s">
        <v>30</v>
      </c>
      <c r="E187">
        <v>2.1</v>
      </c>
      <c r="F187" s="1" t="s">
        <v>31</v>
      </c>
      <c r="G187" s="1" t="s">
        <v>32</v>
      </c>
      <c r="H187">
        <v>41.31</v>
      </c>
      <c r="I187">
        <v>69.28</v>
      </c>
      <c r="J187">
        <v>448978</v>
      </c>
      <c r="K187">
        <v>35648100</v>
      </c>
      <c r="L187">
        <v>57921286440</v>
      </c>
      <c r="M187">
        <v>0.63</v>
      </c>
      <c r="N187">
        <v>1624.81</v>
      </c>
      <c r="O187">
        <v>71.599999999999994</v>
      </c>
      <c r="P187" s="1" t="s">
        <v>33</v>
      </c>
      <c r="Q187" s="1" t="s">
        <v>34</v>
      </c>
      <c r="R187" s="1" t="s">
        <v>35</v>
      </c>
      <c r="S187" s="1" t="s">
        <v>36</v>
      </c>
      <c r="T187" s="1" t="s">
        <v>37</v>
      </c>
      <c r="U187">
        <v>79.400000000000006</v>
      </c>
      <c r="V187" s="1" t="s">
        <v>264</v>
      </c>
      <c r="W187" s="1" t="s">
        <v>36</v>
      </c>
      <c r="X187">
        <v>129007</v>
      </c>
      <c r="Y187" s="1" t="s">
        <v>53</v>
      </c>
      <c r="Z187" s="1" t="s">
        <v>80</v>
      </c>
      <c r="AA187">
        <v>3</v>
      </c>
      <c r="AB187" s="1" t="s">
        <v>478</v>
      </c>
      <c r="AC187" s="1" t="s">
        <v>483</v>
      </c>
      <c r="AD187" s="1" t="str">
        <f>IF(AC187="no", "", IF(A187="Australia", "Low-Density Developed Outlier", IF(A187="Liechtenstein", "Ultra-Wealthy Microstate", IF(A187="Monaco", "Extreme Density Microstate", IF(A187="Singapore", "High-Density City-State", "Unclassified Outlier")))))</f>
        <v/>
      </c>
    </row>
    <row r="188" spans="1:30" x14ac:dyDescent="0.35">
      <c r="A188" s="1" t="s">
        <v>465</v>
      </c>
      <c r="B188" s="1" t="s">
        <v>466</v>
      </c>
      <c r="C188" s="1" t="s">
        <v>42</v>
      </c>
      <c r="D188" s="1" t="s">
        <v>57</v>
      </c>
      <c r="E188">
        <v>5.97</v>
      </c>
      <c r="F188" s="1" t="s">
        <v>63</v>
      </c>
      <c r="G188" s="1" t="s">
        <v>32</v>
      </c>
      <c r="H188">
        <v>-17.7333</v>
      </c>
      <c r="I188">
        <v>168.3167</v>
      </c>
      <c r="J188">
        <v>12190</v>
      </c>
      <c r="K188">
        <v>326740</v>
      </c>
      <c r="L188">
        <v>917058851</v>
      </c>
      <c r="M188">
        <v>0.15</v>
      </c>
      <c r="N188">
        <v>2806.69</v>
      </c>
      <c r="O188">
        <v>70.3</v>
      </c>
      <c r="P188" s="1" t="s">
        <v>33</v>
      </c>
      <c r="Q188" s="1" t="s">
        <v>64</v>
      </c>
      <c r="R188" s="1" t="s">
        <v>36</v>
      </c>
      <c r="S188" s="1" t="s">
        <v>35</v>
      </c>
      <c r="T188" s="1" t="s">
        <v>84</v>
      </c>
      <c r="U188">
        <v>26.8</v>
      </c>
      <c r="V188" s="1" t="s">
        <v>202</v>
      </c>
      <c r="W188" s="1" t="s">
        <v>35</v>
      </c>
      <c r="X188">
        <v>75230</v>
      </c>
      <c r="Y188" s="1" t="s">
        <v>53</v>
      </c>
      <c r="Z188" s="1" t="s">
        <v>80</v>
      </c>
      <c r="AA188">
        <v>0</v>
      </c>
      <c r="AB188" s="1" t="s">
        <v>480</v>
      </c>
      <c r="AC188" s="1" t="s">
        <v>483</v>
      </c>
      <c r="AD188" s="1" t="str">
        <f>IF(AC188="no", "", IF(A188="Australia", "Low-Density Developed Outlier", IF(A188="Liechtenstein", "Ultra-Wealthy Microstate", IF(A188="Monaco", "Extreme Density Microstate", IF(A188="Singapore", "High-Density City-State", "Unclassified Outlier")))))</f>
        <v/>
      </c>
    </row>
    <row r="189" spans="1:30" x14ac:dyDescent="0.35">
      <c r="A189" s="1" t="s">
        <v>467</v>
      </c>
      <c r="B189" s="1" t="s">
        <v>468</v>
      </c>
      <c r="C189" s="1" t="s">
        <v>74</v>
      </c>
      <c r="D189" s="1" t="s">
        <v>57</v>
      </c>
      <c r="E189">
        <v>2.25</v>
      </c>
      <c r="F189" s="1" t="s">
        <v>31</v>
      </c>
      <c r="G189" s="1" t="s">
        <v>32</v>
      </c>
      <c r="H189">
        <v>10.5</v>
      </c>
      <c r="I189">
        <v>-66.933300000000003</v>
      </c>
      <c r="J189">
        <v>912050</v>
      </c>
      <c r="K189">
        <v>28301696</v>
      </c>
      <c r="L189">
        <v>482359318768</v>
      </c>
      <c r="M189">
        <v>0.25</v>
      </c>
      <c r="N189">
        <v>17043.48</v>
      </c>
      <c r="O189">
        <v>72.099999999999994</v>
      </c>
      <c r="P189" s="1" t="s">
        <v>69</v>
      </c>
      <c r="Q189" s="1" t="s">
        <v>34</v>
      </c>
      <c r="R189" s="1" t="s">
        <v>36</v>
      </c>
      <c r="S189" s="1" t="s">
        <v>36</v>
      </c>
      <c r="T189" s="1" t="s">
        <v>75</v>
      </c>
      <c r="U189">
        <v>31</v>
      </c>
      <c r="V189" s="1" t="s">
        <v>155</v>
      </c>
      <c r="W189" s="1" t="s">
        <v>35</v>
      </c>
      <c r="X189">
        <v>528874</v>
      </c>
      <c r="Y189" s="1" t="s">
        <v>47</v>
      </c>
      <c r="Z189" s="1" t="s">
        <v>80</v>
      </c>
      <c r="AA189">
        <v>0</v>
      </c>
      <c r="AB189" s="1" t="s">
        <v>480</v>
      </c>
      <c r="AC189" s="1" t="s">
        <v>483</v>
      </c>
      <c r="AD189" s="1" t="str">
        <f>IF(AC189="no", "", IF(A189="Australia", "Low-Density Developed Outlier", IF(A189="Liechtenstein", "Ultra-Wealthy Microstate", IF(A189="Monaco", "Extreme Density Microstate", IF(A189="Singapore", "High-Density City-State", "Unclassified Outlier")))))</f>
        <v/>
      </c>
    </row>
    <row r="190" spans="1:30" x14ac:dyDescent="0.35">
      <c r="A190" s="1" t="s">
        <v>469</v>
      </c>
      <c r="B190" s="1" t="s">
        <v>470</v>
      </c>
      <c r="C190" s="1" t="s">
        <v>150</v>
      </c>
      <c r="D190" s="1" t="s">
        <v>151</v>
      </c>
      <c r="E190">
        <v>2.62</v>
      </c>
      <c r="F190" s="1" t="s">
        <v>31</v>
      </c>
      <c r="G190" s="1" t="s">
        <v>32</v>
      </c>
      <c r="H190">
        <v>21.03</v>
      </c>
      <c r="I190">
        <v>105.85</v>
      </c>
      <c r="J190">
        <v>331690</v>
      </c>
      <c r="K190">
        <v>98186856</v>
      </c>
      <c r="L190">
        <v>261921244843</v>
      </c>
      <c r="M190">
        <v>0.39</v>
      </c>
      <c r="N190">
        <v>2667.58</v>
      </c>
      <c r="O190">
        <v>75.3</v>
      </c>
      <c r="P190" s="1" t="s">
        <v>33</v>
      </c>
      <c r="Q190" s="1" t="s">
        <v>34</v>
      </c>
      <c r="R190" s="1" t="s">
        <v>36</v>
      </c>
      <c r="S190" s="1" t="s">
        <v>36</v>
      </c>
      <c r="T190" s="1" t="s">
        <v>37</v>
      </c>
      <c r="U190">
        <v>296</v>
      </c>
      <c r="V190" s="1" t="s">
        <v>124</v>
      </c>
      <c r="W190" s="1" t="s">
        <v>35</v>
      </c>
      <c r="X190">
        <v>789657</v>
      </c>
      <c r="Y190" s="1" t="s">
        <v>53</v>
      </c>
      <c r="Z190" s="1" t="s">
        <v>47</v>
      </c>
      <c r="AA190">
        <v>3</v>
      </c>
      <c r="AB190" s="1" t="s">
        <v>478</v>
      </c>
      <c r="AC190" s="1" t="s">
        <v>483</v>
      </c>
      <c r="AD190" s="1" t="str">
        <f>IF(AC190="no", "", IF(A190="Australia", "Low-Density Developed Outlier", IF(A190="Liechtenstein", "Ultra-Wealthy Microstate", IF(A190="Monaco", "Extreme Density Microstate", IF(A190="Singapore", "High-Density City-State", "Unclassified Outlier")))))</f>
        <v/>
      </c>
    </row>
    <row r="191" spans="1:30" x14ac:dyDescent="0.35">
      <c r="A191" s="1" t="s">
        <v>471</v>
      </c>
      <c r="B191" s="1" t="s">
        <v>472</v>
      </c>
      <c r="C191" s="1" t="s">
        <v>129</v>
      </c>
      <c r="D191" s="1" t="s">
        <v>30</v>
      </c>
      <c r="E191">
        <v>1.95</v>
      </c>
      <c r="F191" s="1" t="s">
        <v>31</v>
      </c>
      <c r="G191" s="1" t="s">
        <v>32</v>
      </c>
      <c r="H191">
        <v>15.35</v>
      </c>
      <c r="I191">
        <v>44.21</v>
      </c>
      <c r="J191">
        <v>555000</v>
      </c>
      <c r="K191">
        <v>33696614</v>
      </c>
      <c r="L191">
        <v>26914402224</v>
      </c>
      <c r="M191">
        <v>0.45</v>
      </c>
      <c r="N191">
        <v>798.73</v>
      </c>
      <c r="O191">
        <v>66.099999999999994</v>
      </c>
      <c r="P191" s="1" t="s">
        <v>33</v>
      </c>
      <c r="Q191" s="1" t="s">
        <v>34</v>
      </c>
      <c r="R191" s="1" t="s">
        <v>36</v>
      </c>
      <c r="S191" s="1" t="s">
        <v>36</v>
      </c>
      <c r="T191" s="1" t="s">
        <v>37</v>
      </c>
      <c r="U191">
        <v>60.7</v>
      </c>
      <c r="V191" s="1" t="s">
        <v>79</v>
      </c>
      <c r="W191" s="1" t="s">
        <v>35</v>
      </c>
      <c r="X191">
        <v>48494</v>
      </c>
      <c r="Y191" s="1" t="s">
        <v>39</v>
      </c>
      <c r="Z191" s="1" t="s">
        <v>80</v>
      </c>
      <c r="AA191">
        <v>1</v>
      </c>
      <c r="AB191" s="1" t="s">
        <v>481</v>
      </c>
      <c r="AC191" s="1" t="s">
        <v>483</v>
      </c>
      <c r="AD191" s="1" t="str">
        <f>IF(AC191="no", "", IF(A191="Australia", "Low-Density Developed Outlier", IF(A191="Liechtenstein", "Ultra-Wealthy Microstate", IF(A191="Monaco", "Extreme Density Microstate", IF(A191="Singapore", "High-Density City-State", "Unclassified Outlier")))))</f>
        <v/>
      </c>
    </row>
    <row r="192" spans="1:30" x14ac:dyDescent="0.35">
      <c r="A192" s="1" t="s">
        <v>473</v>
      </c>
      <c r="B192" s="1" t="s">
        <v>474</v>
      </c>
      <c r="C192" s="1" t="s">
        <v>50</v>
      </c>
      <c r="D192" s="1" t="s">
        <v>57</v>
      </c>
      <c r="E192">
        <v>5.73</v>
      </c>
      <c r="F192" s="1" t="s">
        <v>63</v>
      </c>
      <c r="G192" s="1" t="s">
        <v>32</v>
      </c>
      <c r="H192">
        <v>-15.416700000000001</v>
      </c>
      <c r="I192">
        <v>28.283300000000001</v>
      </c>
      <c r="J192">
        <v>752618</v>
      </c>
      <c r="K192">
        <v>20017675</v>
      </c>
      <c r="L192">
        <v>23064722446</v>
      </c>
      <c r="M192">
        <v>0.32</v>
      </c>
      <c r="N192">
        <v>1152.22</v>
      </c>
      <c r="O192">
        <v>63.5</v>
      </c>
      <c r="P192" s="1" t="s">
        <v>33</v>
      </c>
      <c r="Q192" s="1" t="s">
        <v>64</v>
      </c>
      <c r="R192" s="1" t="s">
        <v>36</v>
      </c>
      <c r="S192" s="1" t="s">
        <v>36</v>
      </c>
      <c r="T192" s="1" t="s">
        <v>51</v>
      </c>
      <c r="U192">
        <v>26.6</v>
      </c>
      <c r="V192" s="1" t="s">
        <v>118</v>
      </c>
      <c r="W192" s="1" t="s">
        <v>36</v>
      </c>
      <c r="X192">
        <v>30646</v>
      </c>
      <c r="Y192" s="1" t="s">
        <v>53</v>
      </c>
      <c r="Z192" s="1" t="s">
        <v>39</v>
      </c>
      <c r="AA192">
        <v>1</v>
      </c>
      <c r="AB192" s="1" t="s">
        <v>481</v>
      </c>
      <c r="AC192" s="1" t="s">
        <v>483</v>
      </c>
      <c r="AD192" s="1" t="str">
        <f>IF(AC192="no", "", IF(A192="Australia", "Low-Density Developed Outlier", IF(A192="Liechtenstein", "Ultra-Wealthy Microstate", IF(A192="Monaco", "Extreme Density Microstate", IF(A192="Singapore", "High-Density City-State", "Unclassified Outlier")))))</f>
        <v/>
      </c>
    </row>
    <row r="193" spans="1:30" x14ac:dyDescent="0.35">
      <c r="A193" s="1" t="s">
        <v>475</v>
      </c>
      <c r="B193" s="1" t="s">
        <v>476</v>
      </c>
      <c r="C193" s="1" t="s">
        <v>50</v>
      </c>
      <c r="D193" s="1" t="s">
        <v>57</v>
      </c>
      <c r="E193">
        <v>2.98</v>
      </c>
      <c r="F193" s="1" t="s">
        <v>31</v>
      </c>
      <c r="G193" s="1" t="s">
        <v>32</v>
      </c>
      <c r="H193">
        <v>-17.8292</v>
      </c>
      <c r="I193">
        <v>31.052199999999999</v>
      </c>
      <c r="J193">
        <v>390757</v>
      </c>
      <c r="K193">
        <v>16320537</v>
      </c>
      <c r="L193">
        <v>21440758800</v>
      </c>
      <c r="M193">
        <v>0.42</v>
      </c>
      <c r="N193">
        <v>1313.73</v>
      </c>
      <c r="O193">
        <v>61.2</v>
      </c>
      <c r="P193" s="1" t="s">
        <v>33</v>
      </c>
      <c r="Q193" s="1" t="s">
        <v>64</v>
      </c>
      <c r="R193" s="1" t="s">
        <v>36</v>
      </c>
      <c r="S193" s="1" t="s">
        <v>36</v>
      </c>
      <c r="T193" s="1" t="s">
        <v>51</v>
      </c>
      <c r="U193">
        <v>41.8</v>
      </c>
      <c r="V193" s="1" t="s">
        <v>118</v>
      </c>
      <c r="W193" s="1" t="s">
        <v>36</v>
      </c>
      <c r="X193">
        <v>54870</v>
      </c>
      <c r="Y193" s="1" t="s">
        <v>53</v>
      </c>
      <c r="Z193" s="1" t="s">
        <v>39</v>
      </c>
      <c r="AA193">
        <v>1</v>
      </c>
      <c r="AB193" s="1" t="s">
        <v>481</v>
      </c>
      <c r="AC193" s="1" t="s">
        <v>483</v>
      </c>
      <c r="AD193" s="1" t="str">
        <f>IF(AC193="no", "", IF(A193="Australia", "Low-Density Developed Outlier", IF(A193="Liechtenstein", "Ultra-Wealthy Microstate", IF(A193="Monaco", "Extreme Density Microstate", IF(A193="Singapore", "High-Density City-State", "Unclassified Outlier")))))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A0F8-13BA-4898-9A79-9E080C6B2E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FA683F-7CA9-486B-8550-726AA7CD15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country_clusters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2026-04-26T11:20:41Z</dcterms:created>
  <dcterms:modified xsi:type="dcterms:W3CDTF">2026-04-26T12:24:14Z</dcterms:modified>
</cp:coreProperties>
</file>